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ndgui\Projects\Flight-Controller\hardware\"/>
    </mc:Choice>
  </mc:AlternateContent>
  <xr:revisionPtr revIDLastSave="0" documentId="13_ncr:1_{2085D4BE-4321-4C0E-A085-EA4DF47A2107}" xr6:coauthVersionLast="47" xr6:coauthVersionMax="47" xr10:uidLastSave="{00000000-0000-0000-0000-000000000000}"/>
  <bookViews>
    <workbookView xWindow="1170" yWindow="1170" windowWidth="24990" windowHeight="13080" xr2:uid="{00000000-000D-0000-FFFF-FFFF00000000}"/>
  </bookViews>
  <sheets>
    <sheet name="ICs" sheetId="1" r:id="rId1"/>
    <sheet name="Standard components" sheetId="3" r:id="rId2"/>
    <sheet name="Interfaces" sheetId="2" r:id="rId3"/>
    <sheet name="resourc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<sst xmlns="http://schemas.openxmlformats.org/spreadsheetml/2006/main" count="483" uniqueCount="324">
  <si>
    <t>Category</t>
  </si>
  <si>
    <t>Component</t>
  </si>
  <si>
    <t>IMU</t>
  </si>
  <si>
    <t>ICM-42688-P</t>
  </si>
  <si>
    <t>BMI088</t>
  </si>
  <si>
    <t>yes</t>
  </si>
  <si>
    <t>no</t>
  </si>
  <si>
    <t>ICM-40609-D</t>
  </si>
  <si>
    <t>MAG</t>
  </si>
  <si>
    <t>Comment</t>
  </si>
  <si>
    <t>best noise / ODR 32kHz</t>
  </si>
  <si>
    <t>Best reliability 
max acc 24g</t>
  </si>
  <si>
    <t>ODR 32kHz
max 32g</t>
  </si>
  <si>
    <t>MMC5983MA</t>
  </si>
  <si>
    <t>BMM350</t>
  </si>
  <si>
    <t>BAR</t>
  </si>
  <si>
    <t>MS5611-01BA03</t>
  </si>
  <si>
    <t>BMP390</t>
  </si>
  <si>
    <t>?</t>
  </si>
  <si>
    <t>best heading</t>
  </si>
  <si>
    <t>reliable</t>
  </si>
  <si>
    <t>MCU</t>
  </si>
  <si>
    <t>STM32H753</t>
  </si>
  <si>
    <t>STM32H757</t>
  </si>
  <si>
    <t>dual core</t>
  </si>
  <si>
    <t>MEM</t>
  </si>
  <si>
    <t>micro SD card socket</t>
  </si>
  <si>
    <t>USB-C</t>
  </si>
  <si>
    <t>JLCPCB</t>
  </si>
  <si>
    <t>DigiKey</t>
  </si>
  <si>
    <t>proto v1.0</t>
  </si>
  <si>
    <t>v2.0</t>
  </si>
  <si>
    <t>STM32H743ZIT6</t>
  </si>
  <si>
    <t>Boards</t>
  </si>
  <si>
    <t>Suppliers</t>
  </si>
  <si>
    <t>LED</t>
  </si>
  <si>
    <t xml:space="preserve">RGB LED </t>
  </si>
  <si>
    <t>Package</t>
  </si>
  <si>
    <t>Description</t>
  </si>
  <si>
    <t xml:space="preserve">STM32H743ZIT6 </t>
  </si>
  <si>
    <t>LQFP-144</t>
  </si>
  <si>
    <t>19-337C/RSBHGHC-A88/4T</t>
  </si>
  <si>
    <t>DigiKey-19-337C</t>
  </si>
  <si>
    <t>Datasheet</t>
  </si>
  <si>
    <t xml:space="preserve"> </t>
  </si>
  <si>
    <t>Red LED</t>
  </si>
  <si>
    <t>LTST-C150EKT</t>
  </si>
  <si>
    <t>0606 (1616 Metric)</t>
  </si>
  <si>
    <t>DigiKey-LTST-C150EKT</t>
  </si>
  <si>
    <t>1206 (3216 Metric)</t>
  </si>
  <si>
    <t>LTST-C150GKT</t>
  </si>
  <si>
    <t>Green LED</t>
  </si>
  <si>
    <t>DigiKey-LTST-C150GKT</t>
  </si>
  <si>
    <t>JLCPCB-LTST-C150EKT</t>
  </si>
  <si>
    <t>LTST-C191KGKT</t>
  </si>
  <si>
    <t>DigiKey-LTST-C161KGKT</t>
  </si>
  <si>
    <t>0603 (1608 Metric)</t>
  </si>
  <si>
    <t>DigiKey-MEM2061</t>
  </si>
  <si>
    <t>MUX</t>
  </si>
  <si>
    <t>5V Mux 2A max</t>
  </si>
  <si>
    <t>DigiJey-TPS2113A</t>
  </si>
  <si>
    <t>8-VDFN Exposed Pad (3x3)</t>
  </si>
  <si>
    <t>TPS62130ARGTR</t>
  </si>
  <si>
    <t>DigiKey-TPS62130</t>
  </si>
  <si>
    <t>16-VFQFN Exposed Pad</t>
  </si>
  <si>
    <t>BUCK</t>
  </si>
  <si>
    <t>POWER</t>
  </si>
  <si>
    <t>SENSOR</t>
  </si>
  <si>
    <t>COMPUTING</t>
  </si>
  <si>
    <t>CRYSTAL</t>
  </si>
  <si>
    <t>TSX-3225 16.0000MF18X-AC3</t>
  </si>
  <si>
    <t>JLCPCB-TSX-3225</t>
  </si>
  <si>
    <t>DigiKey-TSX3225</t>
  </si>
  <si>
    <t>4-SMD (3.2x2.5)</t>
  </si>
  <si>
    <t>CONNECTOR</t>
  </si>
  <si>
    <t>SM04B-GHS-TB</t>
  </si>
  <si>
    <t>DigiKey-SM04B-GHS</t>
  </si>
  <si>
    <t>SM03B-GHS-TB</t>
  </si>
  <si>
    <t>GH1,25 4 pins</t>
  </si>
  <si>
    <t>GH1,26 3pins</t>
  </si>
  <si>
    <t>DigiKey-SM03B-GHS</t>
  </si>
  <si>
    <t>SM06B-GHS-TB</t>
  </si>
  <si>
    <t>GH1,26 6pins</t>
  </si>
  <si>
    <t>DigiKey-SM6B-GHS</t>
  </si>
  <si>
    <t>SWITCH</t>
  </si>
  <si>
    <t>PCM12SMTR</t>
  </si>
  <si>
    <t>JLCPCB-PCM12SMTR</t>
  </si>
  <si>
    <t>6V</t>
  </si>
  <si>
    <t>4V</t>
  </si>
  <si>
    <t>CUS-12TB</t>
  </si>
  <si>
    <t>JLCPCB-CUS-12TB</t>
  </si>
  <si>
    <t>DigiKey-CUS-12TB</t>
  </si>
  <si>
    <t>DigiKey-PCM12SMTR</t>
  </si>
  <si>
    <t>CAP</t>
  </si>
  <si>
    <t>0603</t>
  </si>
  <si>
    <t>0805</t>
  </si>
  <si>
    <t>CL05B104KO5NNNC</t>
  </si>
  <si>
    <t>JLCPCB-MLCC100nF</t>
  </si>
  <si>
    <t>0402 (1005 Metric)</t>
  </si>
  <si>
    <t>FTSH-105-01-F-DV-K</t>
  </si>
  <si>
    <t>DigiKey-FTSH-105</t>
  </si>
  <si>
    <t>JLCPCB-FTSH-105</t>
  </si>
  <si>
    <t>10 pin 1,27 for Cortex-M Debug</t>
  </si>
  <si>
    <t>ESD</t>
  </si>
  <si>
    <t>TPD4E05U06DQAR</t>
  </si>
  <si>
    <t>TVS DIODE 5.5VWM 14VC 10USON</t>
  </si>
  <si>
    <t xml:space="preserve"> 10-UFDFN (2.5x1)</t>
  </si>
  <si>
    <t>DigiKey-TPD4E05</t>
  </si>
  <si>
    <t>JLCPCB-TPD4E05</t>
  </si>
  <si>
    <t>TSD05DYFR</t>
  </si>
  <si>
    <t>TVS DIODE 5.5VWM 9VC SOD-323</t>
  </si>
  <si>
    <t>DigiKey-TSD05</t>
  </si>
  <si>
    <t>JLCPCB-TSD05</t>
  </si>
  <si>
    <t>SC-76, SOD-323</t>
  </si>
  <si>
    <t>FUSE</t>
  </si>
  <si>
    <t>MF-MSMF050-2</t>
  </si>
  <si>
    <t>1812 (4532 Metric), Concave</t>
  </si>
  <si>
    <t>DigiKey-MF-MSMF050</t>
  </si>
  <si>
    <t>JLCPCB-MF-MSMF050</t>
  </si>
  <si>
    <t>Polymeric PTC Resettable Fuse 15V 500 mA</t>
  </si>
  <si>
    <t>TRANSCEIVER</t>
  </si>
  <si>
    <t>CAN</t>
  </si>
  <si>
    <t>MCP2562FD-E/SN</t>
  </si>
  <si>
    <t>8-SOIC (0.154", 3.90mm Width)</t>
  </si>
  <si>
    <t>DigiKey-MCP2562FD</t>
  </si>
  <si>
    <t>convert CAN TX/RX to H/L</t>
  </si>
  <si>
    <t>JLCPCB-MCP2562FD</t>
  </si>
  <si>
    <t>MCP2562FDT-E/MF</t>
  </si>
  <si>
    <t>8-VDFN Exposed Pad</t>
  </si>
  <si>
    <t>DijiKey-MPC2562FDF</t>
  </si>
  <si>
    <t>..\resources\datasheets\IMU\ds-000347_icm-42688-p-datasheet.pdf</t>
  </si>
  <si>
    <t>..\resources\datasheets\IMU\bst-bmi088-ds001.pdf</t>
  </si>
  <si>
    <t>..\resources\datasheets\MAG\MMC5983MADatasheetRevA.pdf</t>
  </si>
  <si>
    <t>..\resources\datasheets\MAG\bst-bmm350-ds001.pdf</t>
  </si>
  <si>
    <t>..\resources\datasheets\BAR\ENG_DS_MS5611-01BA03_B3.pdf</t>
  </si>
  <si>
    <t>..\resources\datasheets\BAR\bst-bmp390-ds002.pdf</t>
  </si>
  <si>
    <t>..\resources\datasheets\STM32\Datasheet\STM32H743xI-G.pdf</t>
  </si>
  <si>
    <t>..\resources\datasheets\POWER\TPS2113a.pdf</t>
  </si>
  <si>
    <t>..\resources\datasheets\POWER\TPS62130.pdf</t>
  </si>
  <si>
    <t>..\resources\datasheets\CAN\MCP2561-2FD-datasheet.pdf</t>
  </si>
  <si>
    <t>..\resources\datasheets\LED\Everlight 19-337C.pdf</t>
  </si>
  <si>
    <t>..\resources\datasheets\LED\LTST-C150EKT.pdf</t>
  </si>
  <si>
    <t>..\resources\datasheets\LED\LTST-C150GKT.pdf</t>
  </si>
  <si>
    <t>..\resources\datasheets\LED\LTST-C191KGKT.PDF</t>
  </si>
  <si>
    <t>..\resources\datasheets\CRYSTAL\TSX-3225_en.pdf</t>
  </si>
  <si>
    <t>..\resources\datasheets\SWITCH\C221841.pdf</t>
  </si>
  <si>
    <t>..\resources\datasheets\SWITCH\CUS-12TB.pdf</t>
  </si>
  <si>
    <t>..\resources\datasheets\ESD\tpd4e05u06.pdf</t>
  </si>
  <si>
    <t>..\resources\datasheets\ESD\tsd05.pdf</t>
  </si>
  <si>
    <t>..\resources\datasheets\FUSE\mf-msmf.pdf</t>
  </si>
  <si>
    <t>..\resources\datasheets\SD_CARD\mem2061-spec.pdf</t>
  </si>
  <si>
    <t>..\resources\datasheets\CONNECTOR\GH1.25-datasheet.pdf</t>
  </si>
  <si>
    <t>MOSFET</t>
  </si>
  <si>
    <t>2N7002</t>
  </si>
  <si>
    <t>SOT-23-3 (TO-236)</t>
  </si>
  <si>
    <t>MOSFET N-CH 60V 280MA</t>
  </si>
  <si>
    <t>..\resources\datasheets\MOSFET\Diotec-2n7002.pdf</t>
  </si>
  <si>
    <t>DigiKey-2N7002</t>
  </si>
  <si>
    <t>AO3400A</t>
  </si>
  <si>
    <t>3-SMD, SOT-23-3 Variant</t>
  </si>
  <si>
    <t>..\resources\datasheets\MOSFET\AO3400A_ds.pdf</t>
  </si>
  <si>
    <t>DigiKey-AO3400A</t>
  </si>
  <si>
    <t>N-Channel 30 V 5.7A (Ta) 1.4W (Ta</t>
  </si>
  <si>
    <t>JLCPCB-AO3400A</t>
  </si>
  <si>
    <t>USBLC6-2SC6</t>
  </si>
  <si>
    <t>SOT-23-6</t>
  </si>
  <si>
    <t>JLCPCB-USBLC6</t>
  </si>
  <si>
    <t>DigiKey-USBLC6</t>
  </si>
  <si>
    <t>JLCPCB-TPS62130</t>
  </si>
  <si>
    <t>DigiKey-ICM-42688</t>
  </si>
  <si>
    <t>JLCPCB-ICM-42688</t>
  </si>
  <si>
    <t>DigiKey-MMC5983MA</t>
  </si>
  <si>
    <t>JLCPCB-MMC5983MA</t>
  </si>
  <si>
    <t>DigiKey-BMP390</t>
  </si>
  <si>
    <t>JLCPCB-BMP390</t>
  </si>
  <si>
    <t>JLCPCB-MEM2061</t>
  </si>
  <si>
    <t>USB4105-GF-A</t>
  </si>
  <si>
    <t>DigiKey-USB4105</t>
  </si>
  <si>
    <t>JLCPCB-USB4105</t>
  </si>
  <si>
    <t>DigiKey-STM32H743ZIT</t>
  </si>
  <si>
    <t>JLCPCB-19-337C</t>
  </si>
  <si>
    <t>LDO</t>
  </si>
  <si>
    <t>TPS7A4700RGWT</t>
  </si>
  <si>
    <t>DigiKey-TPS7A4700</t>
  </si>
  <si>
    <t>1-A, 4-μVRMS, RF LDO</t>
  </si>
  <si>
    <t>NR1644GA040AE4S</t>
  </si>
  <si>
    <t>Low Noise High RR Low Dropout</t>
  </si>
  <si>
    <t>..\resources\datasheets\LDO\nr1644-s-e.pdf</t>
  </si>
  <si>
    <t>DigiKey-NR1644GA</t>
  </si>
  <si>
    <t>JLCPCB-TPS7A4700</t>
  </si>
  <si>
    <t>TPS7A2133PQWDRBRQ1</t>
  </si>
  <si>
    <t>DigiKey-TPS7A2133</t>
  </si>
  <si>
    <t>JLCPCB-TPS7A2133</t>
  </si>
  <si>
    <t>..\resources\datasheets\LDO\tps7a21-q1.pdf</t>
  </si>
  <si>
    <t>Automotive, 500mA, Low-Noise, Low-IQ, High-PSRR LDO</t>
  </si>
  <si>
    <t>100nF MLCC X7R</t>
  </si>
  <si>
    <t>T491A106K010AT</t>
  </si>
  <si>
    <t>10 uF Tantalum</t>
  </si>
  <si>
    <t>DigiKey-T491A106</t>
  </si>
  <si>
    <t>JLCPCB-T491A106</t>
  </si>
  <si>
    <t>TAJA226M016RNJ</t>
  </si>
  <si>
    <t>22 uF Tantalum 16V</t>
  </si>
  <si>
    <t>DigiKey-TAJA226</t>
  </si>
  <si>
    <t>JLCPCB-TAJA226</t>
  </si>
  <si>
    <t>IND</t>
  </si>
  <si>
    <t>XFL4020-222MEC</t>
  </si>
  <si>
    <t>FIXED IND 2.2UH 8A 23.5MOHM SM</t>
  </si>
  <si>
    <t>1616 (4040 Metric)</t>
  </si>
  <si>
    <t>..\resources\datasheets\IND\xfl4020.pdf</t>
  </si>
  <si>
    <t>DigiKey-XFL4020-222</t>
  </si>
  <si>
    <t>JLCPCB-XFL4020-222</t>
  </si>
  <si>
    <t>..\resources\datasheets\USB-C\usb4105-drawing.pdf</t>
  </si>
  <si>
    <t>FB</t>
  </si>
  <si>
    <t>BLM18KG102SN1D</t>
  </si>
  <si>
    <t>DigiKey-ICM-40609-D</t>
  </si>
  <si>
    <t>JLCPCB-ICM-40609-D</t>
  </si>
  <si>
    <t>..\resources\datasheets\IMU\DS-000330-ICM-40609-D-v1.2.pdf</t>
  </si>
  <si>
    <t>24-VFLGA (3x3)</t>
  </si>
  <si>
    <t>DigiKey-BMI088</t>
  </si>
  <si>
    <t>..\resources\datasheets\ESD\USBLC6-2-datasheet.pdf</t>
  </si>
  <si>
    <t>TPD2EUSB30ADRTR</t>
  </si>
  <si>
    <t>SOT-23-3 Variant</t>
  </si>
  <si>
    <t>For self powered devices TVS DIODE 5.25VWM 17VC</t>
  </si>
  <si>
    <t>..\resources\datasheets\ESD\tpd2eusb30a.pdf</t>
  </si>
  <si>
    <t>DigiKey-TPD2EUSB30A</t>
  </si>
  <si>
    <t>JLCPCBs-TPD2EUSB30A</t>
  </si>
  <si>
    <t>TVS DIODE 3.6VWM 8VC</t>
  </si>
  <si>
    <t>2,2uF MLCC</t>
  </si>
  <si>
    <t>10 uF</t>
  </si>
  <si>
    <t>22uF MLCC</t>
  </si>
  <si>
    <t>CL05A105KA5NQNC</t>
  </si>
  <si>
    <t>JLCPCB-MLCC1uF</t>
  </si>
  <si>
    <t>1 uF X5R</t>
  </si>
  <si>
    <t>CL10A225KO8NNNC</t>
  </si>
  <si>
    <t>JLCPCB-MLCC2.2uF</t>
  </si>
  <si>
    <t>CL10A106MA8NRNC</t>
  </si>
  <si>
    <t>JLCPCB-MLCC10uF</t>
  </si>
  <si>
    <t>CL21A226MAQNNNE</t>
  </si>
  <si>
    <t>JLCPCB-MLCC22uF</t>
  </si>
  <si>
    <t>CL10B332KB8NNNC</t>
  </si>
  <si>
    <t>JLCPCB-MLCC3.3nF</t>
  </si>
  <si>
    <t>RES</t>
  </si>
  <si>
    <t>0402</t>
  </si>
  <si>
    <t>0402WGF1001TCE</t>
  </si>
  <si>
    <t>1k</t>
  </si>
  <si>
    <t>JLCPCB-R1k-0402</t>
  </si>
  <si>
    <t>0402WGF1000TCE</t>
  </si>
  <si>
    <t>JLCPCB-R100-0402</t>
  </si>
  <si>
    <r>
      <t>100</t>
    </r>
    <r>
      <rPr>
        <sz val="11"/>
        <color theme="1"/>
        <rFont val="Aptos Narrow"/>
        <family val="2"/>
      </rPr>
      <t>Ω</t>
    </r>
  </si>
  <si>
    <t>0402WGF330JTCE</t>
  </si>
  <si>
    <t>33Ω</t>
  </si>
  <si>
    <t>JLCPCB-R33-0402</t>
  </si>
  <si>
    <t>0402WGF499JTCE</t>
  </si>
  <si>
    <t>50Ω</t>
  </si>
  <si>
    <t>JLCPCB-R50-0402</t>
  </si>
  <si>
    <t>220Ω</t>
  </si>
  <si>
    <t>0402WGF2200TCE</t>
  </si>
  <si>
    <t>JLCPCB-R220-0402</t>
  </si>
  <si>
    <t>1,5k</t>
  </si>
  <si>
    <t>0402WGF1501TCE</t>
  </si>
  <si>
    <t>JLCPCB-R1.5k-0402</t>
  </si>
  <si>
    <t>2,2k</t>
  </si>
  <si>
    <t>0402WGF2201TCE</t>
  </si>
  <si>
    <t>JLCPCB-R2.2k-0402</t>
  </si>
  <si>
    <t>4,7k</t>
  </si>
  <si>
    <t>0402WGF4701TCE</t>
  </si>
  <si>
    <t>JLCPCB-R4.7k-0402</t>
  </si>
  <si>
    <t>5,1k</t>
  </si>
  <si>
    <t>0402WGF5101TCE</t>
  </si>
  <si>
    <t>JLCPCB-R5.1k-0402</t>
  </si>
  <si>
    <t>10k</t>
  </si>
  <si>
    <t>0402WGF1002TCE</t>
  </si>
  <si>
    <t>JLCPCB-R10k-0402</t>
  </si>
  <si>
    <t>47k</t>
  </si>
  <si>
    <t>0402WGF4702TCE</t>
  </si>
  <si>
    <t>JLCPCB-R47k-0402</t>
  </si>
  <si>
    <t>51k</t>
  </si>
  <si>
    <t>0402WGF5102TCE</t>
  </si>
  <si>
    <t>JLCPCB-R51k-0402</t>
  </si>
  <si>
    <t>100k</t>
  </si>
  <si>
    <t>JLCPCB-R100k-0402</t>
  </si>
  <si>
    <t>3.3nF</t>
  </si>
  <si>
    <t>10nF</t>
  </si>
  <si>
    <t>CL05B103KB5NNNC</t>
  </si>
  <si>
    <t>DigiKey-MLCC10nF</t>
  </si>
  <si>
    <t>10pF</t>
  </si>
  <si>
    <t>CL05C100JB5NNNC</t>
  </si>
  <si>
    <t>DigiKey-MLCC10pF</t>
  </si>
  <si>
    <t>TAJA225K016RNJ</t>
  </si>
  <si>
    <t xml:space="preserve">1206 </t>
  </si>
  <si>
    <t>2,2uF Tantalum 16V</t>
  </si>
  <si>
    <t>JLCPCB-TAJA225K016</t>
  </si>
  <si>
    <t>MEM2061-01-188-00-A</t>
  </si>
  <si>
    <t>TPS2113ADRBR</t>
  </si>
  <si>
    <t>16MHz 9pF 60 Ohms</t>
  </si>
  <si>
    <t>X322516MLB4SI</t>
  </si>
  <si>
    <t>16MHz 9pF Crystal Oscillator ±10ppm ±20ppm</t>
  </si>
  <si>
    <t>SMD3225-4P</t>
  </si>
  <si>
    <t>..\resources\datasheets\CRYSTAL\X322516M.pdf</t>
  </si>
  <si>
    <t>JLCPCB-X322516M</t>
  </si>
  <si>
    <t>LTVS16H5.0T5G</t>
  </si>
  <si>
    <t>DFN1610-2</t>
  </si>
  <si>
    <t>..\resources\datasheets\ESD\LTVS16H5.pdf</t>
  </si>
  <si>
    <t>100A@8/20us 2uA 5V 7.8V 8.5V 15V 800pF ESD Unidirectional</t>
  </si>
  <si>
    <t>JLCPCB-LTVS16H5</t>
  </si>
  <si>
    <t>KT-0603R</t>
  </si>
  <si>
    <t>..\resources\datasheets\LED\KT-0603R.pdf</t>
  </si>
  <si>
    <t>JLCPCB-KT0603R</t>
  </si>
  <si>
    <t>KT-0603W</t>
  </si>
  <si>
    <t>..\resources\datasheets\LED\KT-0603W.pdf</t>
  </si>
  <si>
    <t>White yellow LED</t>
  </si>
  <si>
    <t>JLCPCB-KT0603W</t>
  </si>
  <si>
    <t>0402WGF0000TCE</t>
  </si>
  <si>
    <t>0Ω</t>
  </si>
  <si>
    <t>JLCPCB-R0-0402</t>
  </si>
  <si>
    <t>0805W8F0000T5E</t>
  </si>
  <si>
    <t>JLCPCB-R0-0805</t>
  </si>
  <si>
    <t>JLCPCB-MLCC3.3nF-0402</t>
  </si>
  <si>
    <t>CL05B332KB5NNNC</t>
  </si>
  <si>
    <t>BMP388</t>
  </si>
  <si>
    <t>..\resources\datasheets\BAR\BMP388.pdf</t>
  </si>
  <si>
    <t>JLCPCB-BMP388</t>
  </si>
  <si>
    <t>8 Pa precision +-0,66m</t>
  </si>
  <si>
    <t>3 Pa precision +-0,25m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</si>
</sst>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0" borderId="9" xfId="0" applyBorder="1"/>
    <xf numFmtId="0" fontId="1" fillId="0" borderId="0" xfId="1"/>
    <xf numFmtId="0" fontId="1" fillId="0" borderId="9" xfId="1" applyBorder="1"/>
    <xf numFmtId="0" fontId="0" fillId="0" borderId="2" xfId="0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5" xfId="0" applyFill="1" applyBorder="1"/>
    <xf numFmtId="0" fontId="1" fillId="0" borderId="2" xfId="1" applyBorder="1"/>
    <xf numFmtId="0" fontId="1" fillId="0" borderId="3" xfId="1" applyBorder="1"/>
    <xf numFmtId="49" fontId="0" fillId="5" borderId="1" xfId="0" applyNumberFormat="1" applyFill="1" applyBorder="1" applyAlignment="1">
      <alignment vertical="center"/>
    </xf>
    <xf numFmtId="49" fontId="0" fillId="0" borderId="0" xfId="0" applyNumberFormat="1"/>
    <xf numFmtId="0" fontId="1" fillId="0" borderId="4" xfId="1" applyBorder="1"/>
    <xf numFmtId="0" fontId="1" fillId="0" borderId="0" xfId="1" applyAlignment="1">
      <alignment horizontal="right"/>
    </xf>
    <xf numFmtId="0" fontId="0" fillId="0" borderId="0" xfId="0" applyAlignment="1">
      <alignment horizontal="right"/>
    </xf>
    <xf numFmtId="0" fontId="1" fillId="0" borderId="0" xfId="1" applyBorder="1" applyAlignment="1">
      <alignment horizontal="right"/>
    </xf>
    <xf numFmtId="0" fontId="1" fillId="0" borderId="2" xfId="1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1" fillId="0" borderId="0" xfId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1" fillId="0" borderId="14" xfId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vertical="center" wrapText="1"/>
    </xf>
    <xf numFmtId="49" fontId="0" fillId="0" borderId="11" xfId="0" applyNumberFormat="1" applyBorder="1"/>
    <xf numFmtId="49" fontId="0" fillId="0" borderId="14" xfId="0" applyNumberFormat="1" applyBorder="1"/>
    <xf numFmtId="0" fontId="0" fillId="7" borderId="0" xfId="0" applyFill="1"/>
    <xf numFmtId="49" fontId="0" fillId="7" borderId="0" xfId="0" applyNumberFormat="1" applyFill="1"/>
    <xf numFmtId="0" fontId="1" fillId="7" borderId="0" xfId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2" xfId="0" applyFill="1" applyBorder="1"/>
    <xf numFmtId="49" fontId="0" fillId="7" borderId="2" xfId="0" applyNumberFormat="1" applyFill="1" applyBorder="1"/>
    <xf numFmtId="0" fontId="0" fillId="7" borderId="2" xfId="0" applyFill="1" applyBorder="1" applyAlignment="1">
      <alignment horizontal="right"/>
    </xf>
    <xf numFmtId="0" fontId="3" fillId="7" borderId="0" xfId="0" applyFont="1" applyFill="1"/>
    <xf numFmtId="0" fontId="0" fillId="7" borderId="6" xfId="0" applyFill="1" applyBorder="1" applyAlignment="1">
      <alignment horizontal="center" vertical="center"/>
    </xf>
    <xf numFmtId="0" fontId="0" fillId="7" borderId="6" xfId="0" applyFill="1" applyBorder="1"/>
    <xf numFmtId="0" fontId="1" fillId="7" borderId="0" xfId="1" applyFill="1" applyBorder="1" applyAlignment="1">
      <alignment horizontal="right"/>
    </xf>
    <xf numFmtId="0" fontId="0" fillId="7" borderId="6" xfId="0" applyFill="1" applyBorder="1" applyAlignment="1">
      <alignment wrapText="1"/>
    </xf>
    <xf numFmtId="0" fontId="0" fillId="7" borderId="2" xfId="0" applyFill="1" applyBorder="1" applyAlignment="1">
      <alignment horizontal="center" vertical="center"/>
    </xf>
    <xf numFmtId="0" fontId="1" fillId="7" borderId="2" xfId="1" applyFill="1" applyBorder="1" applyAlignment="1">
      <alignment horizontal="right" vertical="center"/>
    </xf>
    <xf numFmtId="0" fontId="0" fillId="7" borderId="2" xfId="0" applyFill="1" applyBorder="1" applyAlignment="1">
      <alignment vertical="center"/>
    </xf>
    <xf numFmtId="0" fontId="0" fillId="7" borderId="9" xfId="0" applyFill="1" applyBorder="1"/>
    <xf numFmtId="0" fontId="0" fillId="7" borderId="5" xfId="0" applyFill="1" applyBorder="1"/>
    <xf numFmtId="0" fontId="1" fillId="7" borderId="2" xfId="1" applyFill="1" applyBorder="1" applyAlignment="1">
      <alignment horizontal="right"/>
    </xf>
    <xf numFmtId="0" fontId="1" fillId="7" borderId="2" xfId="1" applyFill="1" applyBorder="1"/>
    <xf numFmtId="0" fontId="0" fillId="7" borderId="3" xfId="0" applyFill="1" applyBorder="1"/>
    <xf numFmtId="0" fontId="0" fillId="7" borderId="0" xfId="0" applyFill="1" applyAlignment="1">
      <alignment horizontal="center" vertical="center"/>
    </xf>
    <xf numFmtId="0" fontId="1" fillId="7" borderId="0" xfId="1" applyFill="1" applyAlignment="1">
      <alignment horizontal="right" vertical="center"/>
    </xf>
    <xf numFmtId="0" fontId="0" fillId="7" borderId="13" xfId="0" applyFill="1" applyBorder="1"/>
    <xf numFmtId="0" fontId="1" fillId="7" borderId="14" xfId="1" applyFill="1" applyBorder="1" applyAlignment="1">
      <alignment horizontal="right"/>
    </xf>
    <xf numFmtId="0" fontId="0" fillId="7" borderId="8" xfId="0" applyFill="1" applyBorder="1"/>
    <xf numFmtId="0" fontId="1" fillId="7" borderId="14" xfId="1" applyFill="1" applyBorder="1"/>
    <xf numFmtId="0" fontId="0" fillId="7" borderId="14" xfId="0" applyFill="1" applyBorder="1"/>
    <xf numFmtId="0" fontId="0" fillId="7" borderId="10" xfId="0" applyFill="1" applyBorder="1"/>
    <xf numFmtId="0" fontId="0" fillId="7" borderId="11" xfId="0" applyFill="1" applyBorder="1"/>
    <xf numFmtId="0" fontId="1" fillId="7" borderId="11" xfId="1" applyFill="1" applyBorder="1" applyAlignment="1">
      <alignment horizontal="right"/>
    </xf>
    <xf numFmtId="0" fontId="0" fillId="7" borderId="10" xfId="0" applyFill="1" applyBorder="1" applyAlignment="1">
      <alignment vertical="top"/>
    </xf>
    <xf numFmtId="0" fontId="0" fillId="7" borderId="11" xfId="0" applyFill="1" applyBorder="1" applyAlignment="1">
      <alignment vertical="center" wrapText="1"/>
    </xf>
    <xf numFmtId="0" fontId="1" fillId="7" borderId="0" xfId="1" applyFill="1"/>
    <xf numFmtId="0" fontId="0" fillId="0" borderId="1" xfId="0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0" xfId="0" applyFill="1" applyBorder="1"/>
  </cellXfs>
  <cellStyles count="2">
    <cellStyle name="Hyperlink" xfId="1" builtinId="8"/>
    <cellStyle name="Normal" xfId="0" builtinId="0"/>
  </cellStyles>
  <dxfs count="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38100</xdr:rowOff>
    </xdr:from>
    <xdr:to>
      <xdr:col>14</xdr:col>
      <xdr:colOff>228600</xdr:colOff>
      <xdr:row>14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2FA2E-2EC0-4E04-A423-FFBC52244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"/>
          <a:ext cx="8153400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resources\datasheets\POWER\TPS62130.pdf" TargetMode="External"/><Relationship Id="rId18" Type="http://schemas.openxmlformats.org/officeDocument/2006/relationships/hyperlink" Target="https://jlcpcb.com/partdetail/TexasInstruments-TPS62130ARGTR/C337502" TargetMode="External"/><Relationship Id="rId26" Type="http://schemas.openxmlformats.org/officeDocument/2006/relationships/hyperlink" Target="https://www.digikey.com.au/en/products/detail/texas-instruments/TPS7A4700RGWT/3516858" TargetMode="External"/><Relationship Id="rId21" Type="http://schemas.openxmlformats.org/officeDocument/2006/relationships/hyperlink" Target="https://www.digikey.com.au/en/products/detail/memsic-inc/MMC5983MA/10452795" TargetMode="External"/><Relationship Id="rId34" Type="http://schemas.openxmlformats.org/officeDocument/2006/relationships/hyperlink" Target="https://jlcpcb.com/partdetail/TDKInvenSense-ICM_40609D/C5360621" TargetMode="External"/><Relationship Id="rId7" Type="http://schemas.openxmlformats.org/officeDocument/2006/relationships/hyperlink" Target="..\resources\datasheets\BAR\bst-bmp390-ds002.pdf" TargetMode="External"/><Relationship Id="rId12" Type="http://schemas.openxmlformats.org/officeDocument/2006/relationships/hyperlink" Target="https://www.digikey.com.au/en/products/filter/power-management-pmic/voltage-regulators-dc-dc-switching-regulators/16-vfqfn-exposed-pad/739?s=N4IgjCBcpgbFoDGUBmBDANgZwKYBoQA3AOygBcAnAV3xAHsoBtcABgA42AmAVhAF0CABzJQQAZUoBLYgHMQAX0VA" TargetMode="External"/><Relationship Id="rId17" Type="http://schemas.openxmlformats.org/officeDocument/2006/relationships/hyperlink" Target="https://www.digikey.com.au/en/products/detail/microchip-technology/MCP2562FDT-E-MF/4860104" TargetMode="External"/><Relationship Id="rId25" Type="http://schemas.openxmlformats.org/officeDocument/2006/relationships/hyperlink" Target="https://www.digikey.com.au/en/products/detail/stmicroelectronics/STM32H743ZIT6/7809238" TargetMode="External"/><Relationship Id="rId33" Type="http://schemas.openxmlformats.org/officeDocument/2006/relationships/hyperlink" Target="https://www.digikey.com/en/products/detail/tdk-invensense/ICM-40609-D/19200630" TargetMode="External"/><Relationship Id="rId38" Type="http://schemas.openxmlformats.org/officeDocument/2006/relationships/hyperlink" Target="https://jlcpcb.com/partdetail/BoschSensortec-BMP388/C779278" TargetMode="External"/><Relationship Id="rId2" Type="http://schemas.openxmlformats.org/officeDocument/2006/relationships/hyperlink" Target="..\resources\datasheets\IMU\ds-000347_icm-42688-p-datasheet.pdf" TargetMode="External"/><Relationship Id="rId16" Type="http://schemas.openxmlformats.org/officeDocument/2006/relationships/hyperlink" Target="https://jlcpcb.com/partdetail/MicrochipTech-MCP2562FD_ESN/C124016" TargetMode="External"/><Relationship Id="rId20" Type="http://schemas.openxmlformats.org/officeDocument/2006/relationships/hyperlink" Target="https://jlcpcb.com/parts/componentSearch?searchTxt=ICM-42688-P" TargetMode="External"/><Relationship Id="rId29" Type="http://schemas.openxmlformats.org/officeDocument/2006/relationships/hyperlink" Target="https://jlcpcb.com/partdetail/TexasInstruments-TPS7A4700RGWT/C28286" TargetMode="External"/><Relationship Id="rId1" Type="http://schemas.openxmlformats.org/officeDocument/2006/relationships/hyperlink" Target="https://jlcpcb.com/partdetail/STMicroelectronics-STM32H743ZIT6/C114408" TargetMode="External"/><Relationship Id="rId6" Type="http://schemas.openxmlformats.org/officeDocument/2006/relationships/hyperlink" Target="..\resources\datasheets\BAR\ENG_DS_MS5611-01BA03_B3.pdf" TargetMode="External"/><Relationship Id="rId11" Type="http://schemas.openxmlformats.org/officeDocument/2006/relationships/hyperlink" Target="https://www.digikey.com.au/en/products/detail/texas-instruments/TPS62130ARGTR/4307640" TargetMode="External"/><Relationship Id="rId24" Type="http://schemas.openxmlformats.org/officeDocument/2006/relationships/hyperlink" Target="https://jlcpcb.com/partdetail/BoschSensortec-BMP390/C5124834" TargetMode="External"/><Relationship Id="rId32" Type="http://schemas.openxmlformats.org/officeDocument/2006/relationships/hyperlink" Target="..\resources\datasheets\LDO\tps7a21-q1.pdf" TargetMode="External"/><Relationship Id="rId37" Type="http://schemas.openxmlformats.org/officeDocument/2006/relationships/hyperlink" Target="..\resources\datasheets\BAR\BMP388.pdf" TargetMode="External"/><Relationship Id="rId5" Type="http://schemas.openxmlformats.org/officeDocument/2006/relationships/hyperlink" Target="..\resources\datasheets\MAG\bst-bmm350-ds001.pdf" TargetMode="External"/><Relationship Id="rId15" Type="http://schemas.openxmlformats.org/officeDocument/2006/relationships/hyperlink" Target="..\resources\datasheets\CAN\MCP2561-2FD-datasheet.pdf" TargetMode="External"/><Relationship Id="rId23" Type="http://schemas.openxmlformats.org/officeDocument/2006/relationships/hyperlink" Target="https://www.digikey.com.au/en/products/detail/bosch-sensortec/BMP390/16164575" TargetMode="External"/><Relationship Id="rId28" Type="http://schemas.openxmlformats.org/officeDocument/2006/relationships/hyperlink" Target="https://www.digikey.com.au/en/products/detail/nisshinbo-micro-devices-inc/NR1644GA040AE4S/26460066" TargetMode="External"/><Relationship Id="rId36" Type="http://schemas.openxmlformats.org/officeDocument/2006/relationships/hyperlink" Target="https://www.digikey.com/en/products/detail/bosch-sensortec/BMI088/8634936" TargetMode="External"/><Relationship Id="rId10" Type="http://schemas.openxmlformats.org/officeDocument/2006/relationships/hyperlink" Target="..\resources\datasheets\POWER\TPS2113a.pdf" TargetMode="External"/><Relationship Id="rId19" Type="http://schemas.openxmlformats.org/officeDocument/2006/relationships/hyperlink" Target="https://www.digikey.com.au/en/products/detail/tdk-invensense/ICM-42688-P/10824934" TargetMode="External"/><Relationship Id="rId31" Type="http://schemas.openxmlformats.org/officeDocument/2006/relationships/hyperlink" Target="https://jlcpcb.com/partdetail/22705404-TPS7A2133PQWDRBRQ1/C21285173" TargetMode="External"/><Relationship Id="rId4" Type="http://schemas.openxmlformats.org/officeDocument/2006/relationships/hyperlink" Target="..\resources\datasheets\MAG\MMC5983MADatasheetRevA.pdf" TargetMode="External"/><Relationship Id="rId9" Type="http://schemas.openxmlformats.org/officeDocument/2006/relationships/hyperlink" Target="https://www.digikey.com.au/en/products/detail/texas-instruments/TPS2113ADRBR/2353703" TargetMode="External"/><Relationship Id="rId14" Type="http://schemas.openxmlformats.org/officeDocument/2006/relationships/hyperlink" Target="https://www.digikey.com.au/en/products/detail/microchip-technology/MCP2562FD-E-SN/4842808?s=N4IgTCBcDaILIGEAKYCsA2MAxAIgWgFEB6AZQDkQBdAXyA" TargetMode="External"/><Relationship Id="rId22" Type="http://schemas.openxmlformats.org/officeDocument/2006/relationships/hyperlink" Target="https://jlcpcb.com/partdetail/MEMSIC-MMC5983MA/C404329" TargetMode="External"/><Relationship Id="rId27" Type="http://schemas.openxmlformats.org/officeDocument/2006/relationships/hyperlink" Target="..\resources\datasheets\LDO\nr1644-s-e.pdf" TargetMode="External"/><Relationship Id="rId30" Type="http://schemas.openxmlformats.org/officeDocument/2006/relationships/hyperlink" Target="https://www.digikey.com.au/en/products/detail/texas-instruments/TPS7A2133PQWDRBRQ1/21600665?s=N4IgTCBcDaICoAUDKB2AgmAjAZmwgigOoAiASgEKn6YgC6AvkA" TargetMode="External"/><Relationship Id="rId35" Type="http://schemas.openxmlformats.org/officeDocument/2006/relationships/hyperlink" Target="..\resources\datasheets\IMU\DS-000330-ICM-40609-D-v1.2.pdf" TargetMode="External"/><Relationship Id="rId8" Type="http://schemas.openxmlformats.org/officeDocument/2006/relationships/hyperlink" Target="..\resources\datasheets\STM32\Datasheet\STM32H743xI-G.pdf" TargetMode="External"/><Relationship Id="rId3" Type="http://schemas.openxmlformats.org/officeDocument/2006/relationships/hyperlink" Target="..\resources\datasheets\IMU\bst-bmi088-ds001.pdf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jlcpcb.com/partdetail/BOURNS-MF_MSMF0502/C17313" TargetMode="External"/><Relationship Id="rId21" Type="http://schemas.openxmlformats.org/officeDocument/2006/relationships/hyperlink" Target="https://jlcpcb.com/partdetail/TexasInstruments-TPD4E05U06DQAR/C138714" TargetMode="External"/><Relationship Id="rId42" Type="http://schemas.openxmlformats.org/officeDocument/2006/relationships/hyperlink" Target="..\resources\datasheets\IND\xfl4020.pdf" TargetMode="External"/><Relationship Id="rId47" Type="http://schemas.openxmlformats.org/officeDocument/2006/relationships/hyperlink" Target="https://www.digikey.com.au/en/products/detail/texas-instruments/TPD2EUSB30ADRTR/2520830" TargetMode="External"/><Relationship Id="rId63" Type="http://schemas.openxmlformats.org/officeDocument/2006/relationships/hyperlink" Target="https://jlcpcb.com/partdetail/26643-0402WGF4701TCE/C25900" TargetMode="External"/><Relationship Id="rId68" Type="http://schemas.openxmlformats.org/officeDocument/2006/relationships/hyperlink" Target="https://www.digikey.com/en/products/detail/samsung-electro-mechanics/CL05C100JB5NNNC/3886797" TargetMode="External"/><Relationship Id="rId16" Type="http://schemas.openxmlformats.org/officeDocument/2006/relationships/hyperlink" Target="..\resources\datasheets\SWITCH\CUS-12TB.pdf" TargetMode="External"/><Relationship Id="rId11" Type="http://schemas.openxmlformats.org/officeDocument/2006/relationships/hyperlink" Target="..\resources\datasheets\CRYSTAL\TSX-3225_en.pdf" TargetMode="External"/><Relationship Id="rId32" Type="http://schemas.openxmlformats.org/officeDocument/2006/relationships/hyperlink" Target="https://www.digikey.com.au/en/products/detail/alpha-omega-semiconductor-inc/AO3400A/1855772" TargetMode="External"/><Relationship Id="rId37" Type="http://schemas.openxmlformats.org/officeDocument/2006/relationships/hyperlink" Target="https://jlcpcb.com/partdetail/3536968-19_337C_RSBHGHC_A884T/C3019536" TargetMode="External"/><Relationship Id="rId53" Type="http://schemas.openxmlformats.org/officeDocument/2006/relationships/hyperlink" Target="https://jlcpcb.com/partdetail/1965-CL10B332KB8NNNC/C1613" TargetMode="External"/><Relationship Id="rId58" Type="http://schemas.openxmlformats.org/officeDocument/2006/relationships/hyperlink" Target="https://jlcpcb.com/partdetail/25848-0402WGF330JTCE/C25105" TargetMode="External"/><Relationship Id="rId74" Type="http://schemas.openxmlformats.org/officeDocument/2006/relationships/hyperlink" Target="https://jlcpcb.com/partdetail/LRC-LTVS16H50T5G/C172440" TargetMode="External"/><Relationship Id="rId79" Type="http://schemas.openxmlformats.org/officeDocument/2006/relationships/hyperlink" Target="https://jlcpcb.com/partdetail/17853-0402WGF0000TCE/C17168" TargetMode="External"/><Relationship Id="rId5" Type="http://schemas.openxmlformats.org/officeDocument/2006/relationships/hyperlink" Target="..\resources\datasheets\LED\LTST-C150GKT.pdf" TargetMode="External"/><Relationship Id="rId61" Type="http://schemas.openxmlformats.org/officeDocument/2006/relationships/hyperlink" Target="https://jlcpcb.com/partdetail/26610-0402WGF1501TCE/C25867" TargetMode="External"/><Relationship Id="rId19" Type="http://schemas.openxmlformats.org/officeDocument/2006/relationships/hyperlink" Target="..\resources\datasheets\ESD\tpd4e05u06.pdf" TargetMode="External"/><Relationship Id="rId14" Type="http://schemas.openxmlformats.org/officeDocument/2006/relationships/hyperlink" Target="https://www.digikey.com.au/en/products/detail/nidec-components-corporation/CUS-12TB/1124222" TargetMode="External"/><Relationship Id="rId22" Type="http://schemas.openxmlformats.org/officeDocument/2006/relationships/hyperlink" Target="..\resources\datasheets\ESD\tsd05.pdf" TargetMode="External"/><Relationship Id="rId27" Type="http://schemas.openxmlformats.org/officeDocument/2006/relationships/hyperlink" Target="..\resources\datasheets\FUSE\mf-msmf.pdf" TargetMode="External"/><Relationship Id="rId30" Type="http://schemas.openxmlformats.org/officeDocument/2006/relationships/hyperlink" Target="https://www.digikey.com.au/en/products/detail/diotec-semiconductor/2N7002/13163336" TargetMode="External"/><Relationship Id="rId35" Type="http://schemas.openxmlformats.org/officeDocument/2006/relationships/hyperlink" Target="https://jlcpcb.com/partdetail/STMicroelectronics-USBLC62SC6/C7519" TargetMode="External"/><Relationship Id="rId43" Type="http://schemas.openxmlformats.org/officeDocument/2006/relationships/hyperlink" Target="https://www.digikey.com.au/en/products/detail/coilcraft/XFL4020-222MEC/21381254?s=N4IgTCBcDaIBoDEAyAWADGNBaMuQF0BfIA" TargetMode="External"/><Relationship Id="rId48" Type="http://schemas.openxmlformats.org/officeDocument/2006/relationships/hyperlink" Target="https://jlcpcb.com/partdetail/TexasInstruments-TPD2EUSB30ADRTR/C94934" TargetMode="External"/><Relationship Id="rId56" Type="http://schemas.openxmlformats.org/officeDocument/2006/relationships/hyperlink" Target="https://jlcpcb.com/partdetail/12256-0402WGF1001TCE/C11702" TargetMode="External"/><Relationship Id="rId64" Type="http://schemas.openxmlformats.org/officeDocument/2006/relationships/hyperlink" Target="https://jlcpcb.com/partdetail/26648-0402WGF5101TCE/C25905" TargetMode="External"/><Relationship Id="rId69" Type="http://schemas.openxmlformats.org/officeDocument/2006/relationships/hyperlink" Target="https://jlcpcb.com/partdetail/-TAJA225K016RNJ/C7180" TargetMode="External"/><Relationship Id="rId77" Type="http://schemas.openxmlformats.org/officeDocument/2006/relationships/hyperlink" Target="..\resources\datasheets\LED\KT-0603W.pdf" TargetMode="External"/><Relationship Id="rId8" Type="http://schemas.openxmlformats.org/officeDocument/2006/relationships/hyperlink" Target="https://www.digikey.com.au/en/products/detail/liteon/LTST-C191KGKT/386835?s=N4IgTCBcDaIDIBUDKCC0BhAjATkwaQHE8EQBdAXyA" TargetMode="External"/><Relationship Id="rId51" Type="http://schemas.openxmlformats.org/officeDocument/2006/relationships/hyperlink" Target="https://jlcpcb.com/partdetail/97651-CL10A106MA8NRNC/C96446" TargetMode="External"/><Relationship Id="rId72" Type="http://schemas.openxmlformats.org/officeDocument/2006/relationships/hyperlink" Target="..\resources\datasheets\ESD\LTVS16H5.pdf" TargetMode="External"/><Relationship Id="rId80" Type="http://schemas.openxmlformats.org/officeDocument/2006/relationships/hyperlink" Target="https://jlcpcb.com/partdetail/18165-0805W8F0000T5E/C17477" TargetMode="External"/><Relationship Id="rId3" Type="http://schemas.openxmlformats.org/officeDocument/2006/relationships/hyperlink" Target="https://www.digikey.com.au/en/products/detail/liteon/LTST-C150EKT/269215" TargetMode="External"/><Relationship Id="rId12" Type="http://schemas.openxmlformats.org/officeDocument/2006/relationships/hyperlink" Target="https://jlcpcb.com/partdetail/CK-PCM12SMTR/C221841" TargetMode="External"/><Relationship Id="rId17" Type="http://schemas.openxmlformats.org/officeDocument/2006/relationships/hyperlink" Target="https://www.digikey.com.au/en/products/detail/c-k/PCM12SMTR/1640112" TargetMode="External"/><Relationship Id="rId25" Type="http://schemas.openxmlformats.org/officeDocument/2006/relationships/hyperlink" Target="https://www.digikey.com.au/en/products/detail/bourns-inc/MF-MSMF050-2/662816?s=N4IgTCBcDaILIDEC0cDKiAMBWDSwGEAVJAOQBEQBdAXyA" TargetMode="External"/><Relationship Id="rId33" Type="http://schemas.openxmlformats.org/officeDocument/2006/relationships/hyperlink" Target="..\resources\datasheets\MOSFET\AO3400A_ds.pdf" TargetMode="External"/><Relationship Id="rId38" Type="http://schemas.openxmlformats.org/officeDocument/2006/relationships/hyperlink" Target="https://www.digikey.com.au/en/products/detail/kemet/T491A106K010AT/818545" TargetMode="External"/><Relationship Id="rId46" Type="http://schemas.openxmlformats.org/officeDocument/2006/relationships/hyperlink" Target="..\resources\datasheets\ESD\tpd2eusb30a.pdf" TargetMode="External"/><Relationship Id="rId59" Type="http://schemas.openxmlformats.org/officeDocument/2006/relationships/hyperlink" Target="https://jlcpcb.com/partdetail/25863-0402WGF499JTCE/C25120" TargetMode="External"/><Relationship Id="rId67" Type="http://schemas.openxmlformats.org/officeDocument/2006/relationships/hyperlink" Target="https://www.digikey.com.au/en/products/detail/samsung-electro-mechanics/CL05B103KB5NNNC/3886686?srsltid=AfmBOoqHRGMZw7nE0d8f7cT5J8MXpDy2Xc0O2qjmG3AS392ihoYXcRyx" TargetMode="External"/><Relationship Id="rId20" Type="http://schemas.openxmlformats.org/officeDocument/2006/relationships/hyperlink" Target="https://www.digikey.com/en/products/detail/texas-instruments/TPD4E05U06DQAR/3996774?s=N4IgTCBcDaICoAUAiAWAogBgKwFUMDYkBFAQQCUQBdAXyA" TargetMode="External"/><Relationship Id="rId41" Type="http://schemas.openxmlformats.org/officeDocument/2006/relationships/hyperlink" Target="https://jlcpcb.com/partdetail/-TAJA226M016RNJ/C6328904" TargetMode="External"/><Relationship Id="rId54" Type="http://schemas.openxmlformats.org/officeDocument/2006/relationships/hyperlink" Target="https://jlcpcb.com/partdetail/26484-0402WGF1003TCE/C25741" TargetMode="External"/><Relationship Id="rId62" Type="http://schemas.openxmlformats.org/officeDocument/2006/relationships/hyperlink" Target="https://jlcpcb.com/partdetail/26622-0402WGF2201TCE/C25879" TargetMode="External"/><Relationship Id="rId70" Type="http://schemas.openxmlformats.org/officeDocument/2006/relationships/hyperlink" Target="..\resources\datasheets\CRYSTAL\X322516M.pdf" TargetMode="External"/><Relationship Id="rId75" Type="http://schemas.openxmlformats.org/officeDocument/2006/relationships/hyperlink" Target="..\resources\datasheets\LED\KT-0603R.pdf" TargetMode="External"/><Relationship Id="rId1" Type="http://schemas.openxmlformats.org/officeDocument/2006/relationships/hyperlink" Target="https://www.digikey.com.au/en/products/detail/everlight-electronics-co-ltd/19-337C-RSBHGHC-A88-4T/10059590" TargetMode="External"/><Relationship Id="rId6" Type="http://schemas.openxmlformats.org/officeDocument/2006/relationships/hyperlink" Target="https://www.digikey.com.au/en/products/detail/liteon/LTST-C150GKT/269216" TargetMode="External"/><Relationship Id="rId15" Type="http://schemas.openxmlformats.org/officeDocument/2006/relationships/hyperlink" Target="..\resources\datasheets\SWITCH\C221841.pdf" TargetMode="External"/><Relationship Id="rId23" Type="http://schemas.openxmlformats.org/officeDocument/2006/relationships/hyperlink" Target="https://www.digikey.com/en/products/detail/texas-instruments/TSD05DYFR/21298352" TargetMode="External"/><Relationship Id="rId28" Type="http://schemas.openxmlformats.org/officeDocument/2006/relationships/hyperlink" Target="..\resources\datasheets\LED\LTST-C191KGKT.PDF" TargetMode="External"/><Relationship Id="rId36" Type="http://schemas.openxmlformats.org/officeDocument/2006/relationships/hyperlink" Target="https://www.digikey.com.au/en/products/detail/stmicroelectronics/USBLC6-2SC6/1040559" TargetMode="External"/><Relationship Id="rId49" Type="http://schemas.openxmlformats.org/officeDocument/2006/relationships/hyperlink" Target="https://jlcpcb.com/partdetail/53938-CL05A105KA5NQNC/C52923" TargetMode="External"/><Relationship Id="rId57" Type="http://schemas.openxmlformats.org/officeDocument/2006/relationships/hyperlink" Target="https://jlcpcb.com/partdetail/25819-0402WGF1000TCE/C25076" TargetMode="External"/><Relationship Id="rId10" Type="http://schemas.openxmlformats.org/officeDocument/2006/relationships/hyperlink" Target="https://www.digikey.com.au/en/products/detail/epson/TSX-3225-16-0000MF18X-AC3/1825445" TargetMode="External"/><Relationship Id="rId31" Type="http://schemas.openxmlformats.org/officeDocument/2006/relationships/hyperlink" Target="https://www.digikey.com.au/en/products/filter/transistors/fets-mosfets/single-fets-mosfets/3-smd-sot-23-3-variant/278?s=N4IgjCBcpgbFoDGUBmBDANgZwKYBoQA3AOygBcAnAV3xAHsoBtEAJgAYWBWWTkAXQIAHMlBABlSgEtiAcxABfRUA" TargetMode="External"/><Relationship Id="rId44" Type="http://schemas.openxmlformats.org/officeDocument/2006/relationships/hyperlink" Target="https://jlcpcb.com/partdetail/Coilcraft-XFL4020222MEC/C122469" TargetMode="External"/><Relationship Id="rId52" Type="http://schemas.openxmlformats.org/officeDocument/2006/relationships/hyperlink" Target="https://jlcpcb.com/partdetail/46786-CL21A226MAQNNNE/C45783" TargetMode="External"/><Relationship Id="rId60" Type="http://schemas.openxmlformats.org/officeDocument/2006/relationships/hyperlink" Target="https://jlcpcb.com/partdetail/25834-0402WGF2200TCE/C25091" TargetMode="External"/><Relationship Id="rId65" Type="http://schemas.openxmlformats.org/officeDocument/2006/relationships/hyperlink" Target="https://jlcpcb.com/partdetail/26487-0402WGF1002TCE/C25744" TargetMode="External"/><Relationship Id="rId73" Type="http://schemas.openxmlformats.org/officeDocument/2006/relationships/hyperlink" Target="mailto:100A@8/20us%202uA%205V%207.8V%208.5V%2015V%20800pF%20ESD%20Unidirectional" TargetMode="External"/><Relationship Id="rId78" Type="http://schemas.openxmlformats.org/officeDocument/2006/relationships/hyperlink" Target="https://jlcpcb.com/partdetail/Hubei_KENTOElec-KT0603W/C2290" TargetMode="External"/><Relationship Id="rId81" Type="http://schemas.openxmlformats.org/officeDocument/2006/relationships/hyperlink" Target="https://jlcpcb.com/partdetail/27148-CL05B332KB5NNNC/C26404" TargetMode="External"/><Relationship Id="rId4" Type="http://schemas.openxmlformats.org/officeDocument/2006/relationships/hyperlink" Target="..\resources\datasheets\LED\LTST-C150EKT.pdf" TargetMode="External"/><Relationship Id="rId9" Type="http://schemas.openxmlformats.org/officeDocument/2006/relationships/hyperlink" Target="https://jlcpcb.com/partdetail/2078519-TSX_3225_16_0000MF18XAC3/C1986974" TargetMode="External"/><Relationship Id="rId13" Type="http://schemas.openxmlformats.org/officeDocument/2006/relationships/hyperlink" Target="https://jlcpcb.com/partdetail/Nidec-CUS12TB/C2921739" TargetMode="External"/><Relationship Id="rId18" Type="http://schemas.openxmlformats.org/officeDocument/2006/relationships/hyperlink" Target="https://jlcpcb.com/partdetail/1877-CL05B104KO5NNNC/C1525" TargetMode="External"/><Relationship Id="rId39" Type="http://schemas.openxmlformats.org/officeDocument/2006/relationships/hyperlink" Target="https://jlcpcb.com/partdetail/KEMET-T491A106K010AT/C1508940" TargetMode="External"/><Relationship Id="rId34" Type="http://schemas.openxmlformats.org/officeDocument/2006/relationships/hyperlink" Target="https://jlcpcb.com/partdetail/Alpha_OmegaSemicon-AO3400A/C20917" TargetMode="External"/><Relationship Id="rId50" Type="http://schemas.openxmlformats.org/officeDocument/2006/relationships/hyperlink" Target="https://jlcpcb.com/partdetail/24366-CL10A225KO8NNNC/C23630" TargetMode="External"/><Relationship Id="rId55" Type="http://schemas.openxmlformats.org/officeDocument/2006/relationships/hyperlink" Target="https://jlcpcb.com/partdetail/26535-0402WGF4702TCE/C25792" TargetMode="External"/><Relationship Id="rId76" Type="http://schemas.openxmlformats.org/officeDocument/2006/relationships/hyperlink" Target="https://jlcpcb.com/partdetail/Hubei_KENTOElec-KT0603R/C2286" TargetMode="External"/><Relationship Id="rId7" Type="http://schemas.openxmlformats.org/officeDocument/2006/relationships/hyperlink" Target="https://jlcpcb.com/partdetail/LiteOn-LTSTC150GKT/C125084" TargetMode="External"/><Relationship Id="rId71" Type="http://schemas.openxmlformats.org/officeDocument/2006/relationships/hyperlink" Target="https://jlcpcb.com/partdetail/YXC_CrystalOscillators-X322516MLB4SI/C13738" TargetMode="External"/><Relationship Id="rId2" Type="http://schemas.openxmlformats.org/officeDocument/2006/relationships/hyperlink" Target="..\resources\datasheets\LED\Everlight%2019-337C.pdf" TargetMode="External"/><Relationship Id="rId29" Type="http://schemas.openxmlformats.org/officeDocument/2006/relationships/hyperlink" Target="..\resources\datasheets\MOSFET\Diotec-2n7002.pdf" TargetMode="External"/><Relationship Id="rId24" Type="http://schemas.openxmlformats.org/officeDocument/2006/relationships/hyperlink" Target="https://jlcpcb.com/partdetail/TexasInstruments-TSD05DYFR/C22396185" TargetMode="External"/><Relationship Id="rId40" Type="http://schemas.openxmlformats.org/officeDocument/2006/relationships/hyperlink" Target="https://www.digikey.com.au/en/products/detail/kyocera-avx/TAJA226M016RNJ/10381501" TargetMode="External"/><Relationship Id="rId45" Type="http://schemas.openxmlformats.org/officeDocument/2006/relationships/hyperlink" Target="..\resources\datasheets\ESD\USBLC6-2-datasheet.pdf" TargetMode="External"/><Relationship Id="rId66" Type="http://schemas.openxmlformats.org/officeDocument/2006/relationships/hyperlink" Target="https://jlcpcb.com/partdetail/26537-0402WGF5102TCE/C2579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.au/en/products/detail/samtec-inc/FTSH-105-01-F-DV-K/2649974" TargetMode="External"/><Relationship Id="rId13" Type="http://schemas.openxmlformats.org/officeDocument/2006/relationships/hyperlink" Target="https://www.digikey.com.au/en/products/detail/gct/USB4105-GF-A/11198441" TargetMode="External"/><Relationship Id="rId3" Type="http://schemas.openxmlformats.org/officeDocument/2006/relationships/hyperlink" Target="https://www.digikey.com.au/en/products/detail/gct/MEM2061-01-188-00-A/9859612" TargetMode="External"/><Relationship Id="rId7" Type="http://schemas.openxmlformats.org/officeDocument/2006/relationships/hyperlink" Target="..\resources\datasheets\CONNECTOR\GH1.25-datasheet.pdf" TargetMode="External"/><Relationship Id="rId12" Type="http://schemas.openxmlformats.org/officeDocument/2006/relationships/hyperlink" Target="https://jlcpcb.com/partdetail/5778033-MEM2061_01_188_00A/C5151738" TargetMode="External"/><Relationship Id="rId2" Type="http://schemas.openxmlformats.org/officeDocument/2006/relationships/hyperlink" Target="..\resources\datasheets\USB-C\usb4105-drawing.pdf" TargetMode="External"/><Relationship Id="rId1" Type="http://schemas.openxmlformats.org/officeDocument/2006/relationships/hyperlink" Target="..\resources\datasheets\SD_CARD\mem2061-spec.pdf" TargetMode="External"/><Relationship Id="rId6" Type="http://schemas.openxmlformats.org/officeDocument/2006/relationships/hyperlink" Target="https://www.digikey.com.au/en/products/detail/jst-sales-america-inc/SM06B-GHS-TB/807790" TargetMode="External"/><Relationship Id="rId11" Type="http://schemas.openxmlformats.org/officeDocument/2006/relationships/hyperlink" Target="..\resources\datasheets\CONNECTOR\GH1.25-datasheet.pdf" TargetMode="External"/><Relationship Id="rId5" Type="http://schemas.openxmlformats.org/officeDocument/2006/relationships/hyperlink" Target="https://www.digikey.com.au/en/products/detail/jst-sales-america-inc/SM03B-GHS-TB/807787" TargetMode="External"/><Relationship Id="rId10" Type="http://schemas.openxmlformats.org/officeDocument/2006/relationships/hyperlink" Target="..\resources\datasheets\CONNECTOR\GH1.25-datasheet.pdf" TargetMode="External"/><Relationship Id="rId4" Type="http://schemas.openxmlformats.org/officeDocument/2006/relationships/hyperlink" Target="https://www.digikey.com.au/en/products/detail/jst-sales-america-inc/SM04B-GHS-TB/807788" TargetMode="External"/><Relationship Id="rId9" Type="http://schemas.openxmlformats.org/officeDocument/2006/relationships/hyperlink" Target="https://jlcpcb.com/partdetail/Samtec-FTSH_105_01_L_DVK/C5155080" TargetMode="External"/><Relationship Id="rId14" Type="http://schemas.openxmlformats.org/officeDocument/2006/relationships/hyperlink" Target="https://jlcpcb.com/partdetail/3554049-USB4105_GF_A060/C302506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5"/>
  <sheetViews>
    <sheetView tabSelected="1" workbookViewId="0">
      <selection activeCell="M10" sqref="M10"/>
    </sheetView>
  </sheetViews>
  <sheetFormatPr defaultRowHeight="15" x14ac:dyDescent="0.25"/>
  <cols>
    <col min="4" max="4" width="23.5703125" bestFit="1" customWidth="1"/>
    <col min="5" max="5" width="28.5703125" bestFit="1" customWidth="1"/>
    <col min="6" max="6" width="33" customWidth="1"/>
    <col min="7" max="7" width="29.7109375" bestFit="1" customWidth="1"/>
    <col min="8" max="8" width="9.85546875" bestFit="1" customWidth="1"/>
    <col min="10" max="10" width="20.28515625" bestFit="1" customWidth="1"/>
    <col min="11" max="11" width="21.42578125" bestFit="1" customWidth="1"/>
  </cols>
  <sheetData>
    <row r="2" spans="3:11" x14ac:dyDescent="0.25">
      <c r="C2" s="76" t="s">
        <v>0</v>
      </c>
      <c r="D2" s="76" t="s">
        <v>1</v>
      </c>
      <c r="E2" s="91" t="s">
        <v>38</v>
      </c>
      <c r="F2" s="92"/>
      <c r="G2" s="93"/>
      <c r="H2" s="73" t="s">
        <v>33</v>
      </c>
      <c r="I2" s="74"/>
      <c r="J2" s="73" t="s">
        <v>34</v>
      </c>
      <c r="K2" s="74"/>
    </row>
    <row r="3" spans="3:11" x14ac:dyDescent="0.25">
      <c r="C3" s="76"/>
      <c r="D3" s="76"/>
      <c r="E3" s="13" t="s">
        <v>37</v>
      </c>
      <c r="F3" s="13" t="s">
        <v>43</v>
      </c>
      <c r="G3" s="12" t="s">
        <v>9</v>
      </c>
      <c r="H3" s="14" t="s">
        <v>30</v>
      </c>
      <c r="I3" s="14" t="s">
        <v>31</v>
      </c>
      <c r="J3" s="14" t="s">
        <v>28</v>
      </c>
      <c r="K3" s="14" t="s">
        <v>29</v>
      </c>
    </row>
    <row r="4" spans="3:11" x14ac:dyDescent="0.25">
      <c r="C4" s="88" t="s">
        <v>67</v>
      </c>
      <c r="D4" s="89"/>
      <c r="E4" s="89"/>
      <c r="F4" s="89"/>
      <c r="G4" s="89"/>
      <c r="H4" s="89"/>
      <c r="I4" s="89"/>
      <c r="J4" s="89"/>
      <c r="K4" s="90"/>
    </row>
    <row r="5" spans="3:11" x14ac:dyDescent="0.25">
      <c r="C5" s="81" t="s">
        <v>2</v>
      </c>
      <c r="D5" s="47" t="s">
        <v>3</v>
      </c>
      <c r="E5" s="39" t="s">
        <v>44</v>
      </c>
      <c r="F5" s="41" t="s">
        <v>130</v>
      </c>
      <c r="G5" s="48" t="s">
        <v>10</v>
      </c>
      <c r="H5" s="6" t="s">
        <v>6</v>
      </c>
      <c r="I5" s="5" t="s">
        <v>5</v>
      </c>
      <c r="J5" s="10" t="s">
        <v>170</v>
      </c>
      <c r="K5" s="22" t="s">
        <v>169</v>
      </c>
    </row>
    <row r="6" spans="3:11" ht="30" x14ac:dyDescent="0.25">
      <c r="C6" s="72"/>
      <c r="D6" s="16" t="s">
        <v>4</v>
      </c>
      <c r="E6" t="s">
        <v>44</v>
      </c>
      <c r="F6" s="23" t="s">
        <v>131</v>
      </c>
      <c r="G6" s="3" t="s">
        <v>11</v>
      </c>
      <c r="H6" t="s">
        <v>6</v>
      </c>
      <c r="I6" s="5" t="s">
        <v>5</v>
      </c>
      <c r="J6" s="8"/>
      <c r="K6" s="22" t="s">
        <v>218</v>
      </c>
    </row>
    <row r="7" spans="3:11" ht="30" x14ac:dyDescent="0.25">
      <c r="C7" s="72"/>
      <c r="D7" s="47" t="s">
        <v>7</v>
      </c>
      <c r="E7" s="39" t="s">
        <v>217</v>
      </c>
      <c r="F7" s="41" t="s">
        <v>216</v>
      </c>
      <c r="G7" s="50" t="s">
        <v>12</v>
      </c>
      <c r="H7" t="s">
        <v>5</v>
      </c>
      <c r="I7" s="1" t="s">
        <v>6</v>
      </c>
      <c r="J7" s="10" t="s">
        <v>215</v>
      </c>
      <c r="K7" s="22" t="s">
        <v>214</v>
      </c>
    </row>
    <row r="8" spans="3:11" x14ac:dyDescent="0.25">
      <c r="C8" s="72" t="s">
        <v>8</v>
      </c>
      <c r="D8" s="47" t="s">
        <v>13</v>
      </c>
      <c r="E8" s="39" t="s">
        <v>44</v>
      </c>
      <c r="F8" s="41" t="s">
        <v>132</v>
      </c>
      <c r="G8" s="48" t="s">
        <v>19</v>
      </c>
      <c r="H8" s="6" t="s">
        <v>5</v>
      </c>
      <c r="I8" s="5" t="s">
        <v>5</v>
      </c>
      <c r="J8" s="10" t="s">
        <v>171</v>
      </c>
      <c r="K8" s="22" t="s">
        <v>172</v>
      </c>
    </row>
    <row r="9" spans="3:11" x14ac:dyDescent="0.25">
      <c r="C9" s="72"/>
      <c r="D9" s="16" t="s">
        <v>14</v>
      </c>
      <c r="E9" t="s">
        <v>44</v>
      </c>
      <c r="F9" s="23" t="s">
        <v>133</v>
      </c>
      <c r="G9" s="4" t="s">
        <v>20</v>
      </c>
      <c r="H9" t="s">
        <v>6</v>
      </c>
      <c r="I9" s="7" t="s">
        <v>18</v>
      </c>
      <c r="J9" s="8"/>
      <c r="K9" s="1"/>
    </row>
    <row r="10" spans="3:11" x14ac:dyDescent="0.25">
      <c r="C10" s="72" t="s">
        <v>15</v>
      </c>
      <c r="D10" s="16" t="s">
        <v>16</v>
      </c>
      <c r="E10" s="4" t="s">
        <v>44</v>
      </c>
      <c r="F10" s="25" t="s">
        <v>134</v>
      </c>
      <c r="G10" s="4" t="s">
        <v>44</v>
      </c>
      <c r="H10" s="6" t="s">
        <v>6</v>
      </c>
      <c r="I10" s="5" t="s">
        <v>5</v>
      </c>
      <c r="J10" s="8"/>
      <c r="K10" s="1"/>
    </row>
    <row r="11" spans="3:11" x14ac:dyDescent="0.25">
      <c r="C11" s="79"/>
      <c r="D11" s="47" t="s">
        <v>319</v>
      </c>
      <c r="E11" s="48"/>
      <c r="F11" s="49" t="s">
        <v>320</v>
      </c>
      <c r="G11" s="100" t="s">
        <v>322</v>
      </c>
      <c r="H11" s="6" t="s">
        <v>5</v>
      </c>
      <c r="I11" s="5"/>
      <c r="J11" s="8"/>
      <c r="K11" s="22" t="s">
        <v>321</v>
      </c>
    </row>
    <row r="12" spans="3:11" x14ac:dyDescent="0.25">
      <c r="C12" s="79"/>
      <c r="D12" s="47" t="s">
        <v>17</v>
      </c>
      <c r="E12" s="48" t="s">
        <v>44</v>
      </c>
      <c r="F12" s="49" t="s">
        <v>135</v>
      </c>
      <c r="G12" s="39" t="s">
        <v>323</v>
      </c>
      <c r="H12" t="s">
        <v>6</v>
      </c>
      <c r="I12" s="7" t="s">
        <v>5</v>
      </c>
      <c r="J12" s="10" t="s">
        <v>173</v>
      </c>
      <c r="K12" s="22" t="s">
        <v>174</v>
      </c>
    </row>
    <row r="13" spans="3:11" x14ac:dyDescent="0.25">
      <c r="C13" s="85" t="s">
        <v>68</v>
      </c>
      <c r="D13" s="86"/>
      <c r="E13" s="86"/>
      <c r="F13" s="86"/>
      <c r="G13" s="86"/>
      <c r="H13" s="86"/>
      <c r="I13" s="86"/>
      <c r="J13" s="86"/>
      <c r="K13" s="87"/>
    </row>
    <row r="14" spans="3:11" x14ac:dyDescent="0.25">
      <c r="C14" s="94" t="s">
        <v>21</v>
      </c>
      <c r="D14" s="48" t="s">
        <v>39</v>
      </c>
      <c r="E14" s="39" t="s">
        <v>40</v>
      </c>
      <c r="F14" s="41" t="s">
        <v>136</v>
      </c>
      <c r="G14" s="39" t="s">
        <v>44</v>
      </c>
      <c r="H14" s="6" t="s">
        <v>5</v>
      </c>
      <c r="I14" s="6" t="s">
        <v>6</v>
      </c>
      <c r="J14" s="10" t="s">
        <v>32</v>
      </c>
      <c r="K14" s="22" t="s">
        <v>179</v>
      </c>
    </row>
    <row r="15" spans="3:11" x14ac:dyDescent="0.25">
      <c r="C15" s="94"/>
      <c r="D15" s="4" t="s">
        <v>22</v>
      </c>
      <c r="F15" s="24"/>
      <c r="H15" s="6" t="s">
        <v>5</v>
      </c>
      <c r="I15" s="6" t="s">
        <v>6</v>
      </c>
      <c r="J15" s="8"/>
      <c r="K15" s="1"/>
    </row>
    <row r="16" spans="3:11" x14ac:dyDescent="0.25">
      <c r="C16" s="94"/>
      <c r="D16" s="4" t="s">
        <v>23</v>
      </c>
      <c r="F16" s="24"/>
      <c r="G16" t="s">
        <v>24</v>
      </c>
      <c r="H16" s="6" t="s">
        <v>5</v>
      </c>
      <c r="I16" s="6" t="s">
        <v>6</v>
      </c>
      <c r="J16" s="8"/>
      <c r="K16" s="1"/>
    </row>
    <row r="17" spans="3:11" x14ac:dyDescent="0.25">
      <c r="C17" s="85" t="s">
        <v>66</v>
      </c>
      <c r="D17" s="86"/>
      <c r="E17" s="86"/>
      <c r="F17" s="86"/>
      <c r="G17" s="86"/>
      <c r="H17" s="86"/>
      <c r="I17" s="86"/>
      <c r="J17" s="86"/>
      <c r="K17" s="87"/>
    </row>
    <row r="18" spans="3:11" x14ac:dyDescent="0.25">
      <c r="C18" s="27" t="s">
        <v>58</v>
      </c>
      <c r="D18" s="55" t="s">
        <v>293</v>
      </c>
      <c r="E18" s="43" t="s">
        <v>61</v>
      </c>
      <c r="F18" s="56" t="s">
        <v>137</v>
      </c>
      <c r="G18" s="43" t="s">
        <v>59</v>
      </c>
      <c r="H18" s="6" t="s">
        <v>5</v>
      </c>
      <c r="I18" s="6" t="s">
        <v>6</v>
      </c>
      <c r="J18" s="11"/>
      <c r="K18" s="19" t="s">
        <v>60</v>
      </c>
    </row>
    <row r="19" spans="3:11" x14ac:dyDescent="0.25">
      <c r="C19" s="79" t="s">
        <v>181</v>
      </c>
      <c r="D19" s="55" t="s">
        <v>190</v>
      </c>
      <c r="E19" s="39" t="s">
        <v>61</v>
      </c>
      <c r="F19" s="56" t="s">
        <v>193</v>
      </c>
      <c r="G19" s="43" t="s">
        <v>194</v>
      </c>
      <c r="H19" s="6" t="s">
        <v>5</v>
      </c>
      <c r="I19" s="6"/>
      <c r="J19" s="28" t="s">
        <v>192</v>
      </c>
      <c r="K19" s="22" t="s">
        <v>191</v>
      </c>
    </row>
    <row r="20" spans="3:11" x14ac:dyDescent="0.25">
      <c r="C20" s="80"/>
      <c r="D20" s="2" t="s">
        <v>185</v>
      </c>
      <c r="E20" s="11" t="s">
        <v>44</v>
      </c>
      <c r="F20" s="26" t="s">
        <v>187</v>
      </c>
      <c r="G20" s="11" t="s">
        <v>186</v>
      </c>
      <c r="H20" s="6" t="s">
        <v>6</v>
      </c>
      <c r="I20" s="6"/>
      <c r="K20" s="22" t="s">
        <v>188</v>
      </c>
    </row>
    <row r="21" spans="3:11" x14ac:dyDescent="0.25">
      <c r="C21" s="81"/>
      <c r="D21" s="2" t="s">
        <v>182</v>
      </c>
      <c r="E21" s="11"/>
      <c r="F21" s="26"/>
      <c r="G21" s="11" t="s">
        <v>184</v>
      </c>
      <c r="H21" s="6" t="s">
        <v>6</v>
      </c>
      <c r="I21" s="6"/>
      <c r="J21" s="28" t="s">
        <v>189</v>
      </c>
      <c r="K21" s="22" t="s">
        <v>183</v>
      </c>
    </row>
    <row r="22" spans="3:11" x14ac:dyDescent="0.25">
      <c r="C22" s="27" t="s">
        <v>65</v>
      </c>
      <c r="D22" s="55" t="s">
        <v>62</v>
      </c>
      <c r="E22" s="57" t="s">
        <v>64</v>
      </c>
      <c r="F22" s="56" t="s">
        <v>138</v>
      </c>
      <c r="G22" s="58"/>
      <c r="H22" s="6" t="s">
        <v>5</v>
      </c>
      <c r="I22" s="6" t="s">
        <v>6</v>
      </c>
      <c r="J22" s="9" t="s">
        <v>168</v>
      </c>
      <c r="K22" s="22" t="s">
        <v>63</v>
      </c>
    </row>
    <row r="23" spans="3:11" x14ac:dyDescent="0.25">
      <c r="C23" s="82" t="s">
        <v>120</v>
      </c>
      <c r="D23" s="82"/>
      <c r="E23" s="82"/>
      <c r="F23" s="82"/>
      <c r="G23" s="82"/>
      <c r="H23" s="82"/>
      <c r="I23" s="82"/>
      <c r="J23" s="82"/>
      <c r="K23" s="82"/>
    </row>
    <row r="24" spans="3:11" x14ac:dyDescent="0.25">
      <c r="C24" s="83" t="s">
        <v>121</v>
      </c>
      <c r="D24" s="39" t="s">
        <v>122</v>
      </c>
      <c r="E24" s="39" t="s">
        <v>123</v>
      </c>
      <c r="F24" s="41" t="s">
        <v>139</v>
      </c>
      <c r="G24" s="39" t="s">
        <v>125</v>
      </c>
      <c r="H24" s="6" t="s">
        <v>6</v>
      </c>
      <c r="J24" s="9" t="s">
        <v>126</v>
      </c>
      <c r="K24" s="9" t="s">
        <v>124</v>
      </c>
    </row>
    <row r="25" spans="3:11" x14ac:dyDescent="0.25">
      <c r="C25" s="84"/>
      <c r="D25" t="s">
        <v>127</v>
      </c>
      <c r="E25" t="s">
        <v>128</v>
      </c>
      <c r="F25" s="24"/>
      <c r="H25" s="6" t="s">
        <v>6</v>
      </c>
      <c r="K25" s="9" t="s">
        <v>129</v>
      </c>
    </row>
  </sheetData>
  <mergeCells count="15">
    <mergeCell ref="C23:K23"/>
    <mergeCell ref="C24:C25"/>
    <mergeCell ref="C17:K17"/>
    <mergeCell ref="C4:K4"/>
    <mergeCell ref="J2:K2"/>
    <mergeCell ref="D2:D3"/>
    <mergeCell ref="C2:C3"/>
    <mergeCell ref="E2:G2"/>
    <mergeCell ref="C5:C7"/>
    <mergeCell ref="C8:C9"/>
    <mergeCell ref="C10:C12"/>
    <mergeCell ref="C14:C16"/>
    <mergeCell ref="H2:I2"/>
    <mergeCell ref="C13:K13"/>
    <mergeCell ref="C19:C21"/>
  </mergeCells>
  <conditionalFormatting sqref="H24:H25">
    <cfRule type="cellIs" dxfId="7" priority="1" operator="equal">
      <formula>"no"</formula>
    </cfRule>
    <cfRule type="cellIs" dxfId="6" priority="2" operator="equal">
      <formula>"yes"</formula>
    </cfRule>
  </conditionalFormatting>
  <conditionalFormatting sqref="H5:I12 H14:I16 H18:I22">
    <cfRule type="cellIs" dxfId="5" priority="3" operator="equal">
      <formula>"no"</formula>
    </cfRule>
    <cfRule type="cellIs" dxfId="4" priority="4" operator="equal">
      <formula>"yes"</formula>
    </cfRule>
  </conditionalFormatting>
  <dataValidations count="1">
    <dataValidation type="list" allowBlank="1" showInputMessage="1" showErrorMessage="1" sqref="H5:I12 H14:I16 H24:H25 H18:I22" xr:uid="{91D031B9-CCF6-4B45-AB00-2D58093764CD}">
      <formula1>"yes,no"</formula1>
    </dataValidation>
  </dataValidations>
  <hyperlinks>
    <hyperlink ref="J14" r:id="rId1" xr:uid="{57C33859-179B-4573-8BCE-2F2776120FF1}"/>
    <hyperlink ref="F5" r:id="rId2" xr:uid="{9F1F8EE4-BE1E-480E-95D4-1270040B22FE}"/>
    <hyperlink ref="F6" r:id="rId3" xr:uid="{EEFA6FCB-3202-482E-88A2-8F9DF8B8A453}"/>
    <hyperlink ref="F8" r:id="rId4" xr:uid="{5DDB2188-B900-4772-A0D4-A3DB2F2B75C9}"/>
    <hyperlink ref="F9" r:id="rId5" xr:uid="{DF940AAB-B3F8-4B82-8F67-A812843FEA79}"/>
    <hyperlink ref="F10" r:id="rId6" xr:uid="{521F4EC9-1433-46E3-92DD-70EE4C5129F9}"/>
    <hyperlink ref="F12" r:id="rId7" xr:uid="{71296D36-98FB-4B55-85FA-671FD1492AF0}"/>
    <hyperlink ref="F14" r:id="rId8" xr:uid="{67C35BA2-8BA5-469D-92D9-25C30287E542}"/>
    <hyperlink ref="K18" r:id="rId9" xr:uid="{C7DAE8B1-7D24-4D82-9CAC-FAA05209AA04}"/>
    <hyperlink ref="F18" r:id="rId10" xr:uid="{BF3C2DEE-319B-47CA-BB7F-CC9DDD316D83}"/>
    <hyperlink ref="K22" r:id="rId11" xr:uid="{D8A1F51B-D01B-44C7-9E49-7FA996B83847}"/>
    <hyperlink ref="E22" r:id="rId12" display="https://www.digikey.com.au/en/products/filter/power-management-pmic/voltage-regulators-dc-dc-switching-regulators/16-vfqfn-exposed-pad/739?s=N4IgjCBcpgbFoDGUBmBDANgZwKYBoQA3AOygBcAnAV3xAHsoBtcABgA42AmAVhAF0CABzJQQAZUoBLYgHMQAX0VA" xr:uid="{08026901-09A3-41F1-A40C-633C3F95A180}"/>
    <hyperlink ref="F22" r:id="rId13" xr:uid="{8D02B26B-9403-49DB-A3FC-4974493D9149}"/>
    <hyperlink ref="K24" r:id="rId14" xr:uid="{78BFE1A1-9DCE-412E-BEF0-1F3E51F9DC44}"/>
    <hyperlink ref="F24" r:id="rId15" xr:uid="{FF2076C3-F5D2-4C97-8BCA-B03FB41885C8}"/>
    <hyperlink ref="J24" r:id="rId16" xr:uid="{95E773F7-E1C0-4DC2-8D2F-7AD94AA9D51B}"/>
    <hyperlink ref="K25" r:id="rId17" xr:uid="{84B931C7-29AD-4AB1-87E2-CD8764EDB628}"/>
    <hyperlink ref="J22" r:id="rId18" xr:uid="{8FDCAB0A-B033-4912-B883-1EDAC34E8B2D}"/>
    <hyperlink ref="K5" r:id="rId19" xr:uid="{D276D29E-36B9-4147-86FC-A90EAC58CC7A}"/>
    <hyperlink ref="J5" r:id="rId20" xr:uid="{EFCE5A43-584C-4B82-AD48-0B1F2ADEDA83}"/>
    <hyperlink ref="J8" r:id="rId21" xr:uid="{BB16BAA4-396A-48AC-8CF3-C2FC5C8789AB}"/>
    <hyperlink ref="K8" r:id="rId22" xr:uid="{A06C3BC2-8981-42EF-A4A9-ED9CF858B957}"/>
    <hyperlink ref="J12" r:id="rId23" xr:uid="{17A9233F-E10F-4D08-87CB-3FCF1184D961}"/>
    <hyperlink ref="K12" r:id="rId24" xr:uid="{C500191D-5A98-4734-835A-4985AED496E4}"/>
    <hyperlink ref="K14" r:id="rId25" xr:uid="{64A0B648-F0C6-4001-BB87-DCA9D5DDE097}"/>
    <hyperlink ref="K21" r:id="rId26" xr:uid="{2ECCC8A1-0CC1-447C-AB11-8AFA8B551FA4}"/>
    <hyperlink ref="F20" r:id="rId27" xr:uid="{B0131702-CE26-4519-A807-2DE0A043A513}"/>
    <hyperlink ref="K20" r:id="rId28" xr:uid="{3616FE39-CA67-47FA-8E62-D53F16E08963}"/>
    <hyperlink ref="J21" r:id="rId29" xr:uid="{B6187E63-A11A-4A8C-9588-4A5EF93C634A}"/>
    <hyperlink ref="K19" r:id="rId30" xr:uid="{CF8C73EF-A5F7-402E-9BBC-05D2CCFBE7FA}"/>
    <hyperlink ref="J19" r:id="rId31" xr:uid="{B05BB727-280A-4A7E-ABE1-D2568F850F50}"/>
    <hyperlink ref="F19" r:id="rId32" xr:uid="{C6B524EB-FD4F-4A9D-A77C-EE89ED9CDC9A}"/>
    <hyperlink ref="K7" r:id="rId33" xr:uid="{EC56A510-66A4-4284-8293-92B12C60D544}"/>
    <hyperlink ref="J7" r:id="rId34" xr:uid="{F15D3F47-E355-4978-AACB-E6B47871268B}"/>
    <hyperlink ref="F7" r:id="rId35" xr:uid="{54300872-9956-4941-AA92-7973EBE1F4C2}"/>
    <hyperlink ref="K6" r:id="rId36" xr:uid="{D1EB9BE7-5C1A-4698-B5CC-FD1B52FB8CBD}"/>
    <hyperlink ref="F11" r:id="rId37" xr:uid="{B8C4D0C2-C9B8-456D-96EB-5D1EEE035BC0}"/>
    <hyperlink ref="K11" r:id="rId38" xr:uid="{61EA23FA-C792-4571-84EB-720A51217B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DE95-32D1-49FD-9C5A-9CBB1FAE7FE3}">
  <dimension ref="B3:J52"/>
  <sheetViews>
    <sheetView topLeftCell="A25" zoomScale="85" zoomScaleNormal="85" workbookViewId="0">
      <selection activeCell="L10" sqref="L10"/>
    </sheetView>
  </sheetViews>
  <sheetFormatPr defaultRowHeight="15" x14ac:dyDescent="0.25"/>
  <cols>
    <col min="2" max="2" width="8.85546875" bestFit="1" customWidth="1"/>
    <col min="3" max="3" width="26.42578125" bestFit="1" customWidth="1"/>
    <col min="4" max="4" width="31.5703125" style="21" bestFit="1" customWidth="1"/>
    <col min="5" max="5" width="27.5703125" customWidth="1"/>
    <col min="6" max="6" width="49.5703125" customWidth="1"/>
    <col min="7" max="7" width="16.85546875" customWidth="1"/>
    <col min="8" max="8" width="9.5703125" customWidth="1"/>
    <col min="9" max="9" width="20" bestFit="1" customWidth="1"/>
    <col min="10" max="10" width="20.5703125" bestFit="1" customWidth="1"/>
  </cols>
  <sheetData>
    <row r="3" spans="2:10" x14ac:dyDescent="0.25">
      <c r="B3" s="76" t="s">
        <v>0</v>
      </c>
      <c r="C3" s="76" t="s">
        <v>1</v>
      </c>
      <c r="D3" s="73" t="s">
        <v>38</v>
      </c>
      <c r="E3" s="75"/>
      <c r="F3" s="74"/>
      <c r="G3" s="73" t="s">
        <v>33</v>
      </c>
      <c r="H3" s="74"/>
      <c r="I3" s="73" t="s">
        <v>34</v>
      </c>
      <c r="J3" s="74"/>
    </row>
    <row r="4" spans="2:10" x14ac:dyDescent="0.25">
      <c r="B4" s="76"/>
      <c r="C4" s="76"/>
      <c r="D4" s="20" t="s">
        <v>37</v>
      </c>
      <c r="E4" s="13" t="s">
        <v>43</v>
      </c>
      <c r="F4" s="13" t="s">
        <v>9</v>
      </c>
      <c r="G4" s="14" t="s">
        <v>30</v>
      </c>
      <c r="H4" s="14" t="s">
        <v>31</v>
      </c>
      <c r="I4" s="14" t="s">
        <v>28</v>
      </c>
      <c r="J4" s="14" t="s">
        <v>29</v>
      </c>
    </row>
    <row r="5" spans="2:10" x14ac:dyDescent="0.25">
      <c r="B5" s="72" t="s">
        <v>35</v>
      </c>
      <c r="C5" s="39" t="s">
        <v>41</v>
      </c>
      <c r="D5" s="40" t="s">
        <v>47</v>
      </c>
      <c r="E5" s="41" t="s">
        <v>140</v>
      </c>
      <c r="F5" s="39" t="s">
        <v>36</v>
      </c>
      <c r="G5" s="6" t="s">
        <v>5</v>
      </c>
      <c r="H5" s="6" t="s">
        <v>5</v>
      </c>
      <c r="I5" s="9" t="s">
        <v>180</v>
      </c>
      <c r="J5" s="9" t="s">
        <v>42</v>
      </c>
    </row>
    <row r="6" spans="2:10" x14ac:dyDescent="0.25">
      <c r="B6" s="72"/>
      <c r="C6" s="39" t="s">
        <v>305</v>
      </c>
      <c r="D6" s="40" t="s">
        <v>94</v>
      </c>
      <c r="E6" s="41" t="s">
        <v>306</v>
      </c>
      <c r="F6" s="39" t="s">
        <v>45</v>
      </c>
      <c r="G6" s="6" t="s">
        <v>5</v>
      </c>
      <c r="H6" s="6"/>
      <c r="I6" s="9" t="s">
        <v>307</v>
      </c>
      <c r="J6" s="9"/>
    </row>
    <row r="7" spans="2:10" x14ac:dyDescent="0.25">
      <c r="B7" s="72"/>
      <c r="C7" s="39" t="s">
        <v>308</v>
      </c>
      <c r="D7" s="40" t="s">
        <v>94</v>
      </c>
      <c r="E7" s="41" t="s">
        <v>309</v>
      </c>
      <c r="F7" s="39" t="s">
        <v>310</v>
      </c>
      <c r="G7" s="6" t="s">
        <v>6</v>
      </c>
      <c r="H7" s="6"/>
      <c r="I7" s="9" t="s">
        <v>311</v>
      </c>
      <c r="J7" s="9"/>
    </row>
    <row r="8" spans="2:10" x14ac:dyDescent="0.25">
      <c r="B8" s="72"/>
      <c r="C8" t="s">
        <v>46</v>
      </c>
      <c r="D8" s="21" t="s">
        <v>49</v>
      </c>
      <c r="E8" s="23" t="s">
        <v>141</v>
      </c>
      <c r="F8" t="s">
        <v>45</v>
      </c>
      <c r="G8" s="6" t="s">
        <v>6</v>
      </c>
      <c r="H8" s="6" t="s">
        <v>6</v>
      </c>
      <c r="J8" s="9" t="s">
        <v>48</v>
      </c>
    </row>
    <row r="9" spans="2:10" x14ac:dyDescent="0.25">
      <c r="B9" s="72"/>
      <c r="C9" t="s">
        <v>50</v>
      </c>
      <c r="D9" s="21" t="s">
        <v>49</v>
      </c>
      <c r="E9" s="23" t="s">
        <v>142</v>
      </c>
      <c r="F9" t="s">
        <v>51</v>
      </c>
      <c r="G9" s="6" t="s">
        <v>6</v>
      </c>
      <c r="H9" s="6" t="s">
        <v>6</v>
      </c>
      <c r="I9" s="9" t="s">
        <v>53</v>
      </c>
      <c r="J9" s="9" t="s">
        <v>52</v>
      </c>
    </row>
    <row r="10" spans="2:10" x14ac:dyDescent="0.25">
      <c r="B10" s="72"/>
      <c r="C10" s="31" t="s">
        <v>54</v>
      </c>
      <c r="D10" s="38" t="s">
        <v>56</v>
      </c>
      <c r="E10" s="33" t="s">
        <v>143</v>
      </c>
      <c r="F10" s="32" t="s">
        <v>51</v>
      </c>
      <c r="G10" s="6" t="s">
        <v>6</v>
      </c>
      <c r="H10" s="6" t="s">
        <v>5</v>
      </c>
      <c r="J10" s="9" t="s">
        <v>55</v>
      </c>
    </row>
    <row r="11" spans="2:10" x14ac:dyDescent="0.25">
      <c r="B11" s="77" t="s">
        <v>69</v>
      </c>
      <c r="C11" s="61" t="s">
        <v>295</v>
      </c>
      <c r="D11" s="39" t="s">
        <v>297</v>
      </c>
      <c r="E11" s="62" t="s">
        <v>298</v>
      </c>
      <c r="F11" s="39" t="s">
        <v>296</v>
      </c>
      <c r="G11" s="6" t="s">
        <v>5</v>
      </c>
      <c r="H11" s="6"/>
      <c r="I11" s="9" t="s">
        <v>299</v>
      </c>
      <c r="J11" s="9"/>
    </row>
    <row r="12" spans="2:10" x14ac:dyDescent="0.25">
      <c r="B12" s="78"/>
      <c r="C12" s="31" t="s">
        <v>70</v>
      </c>
      <c r="D12" s="38" t="s">
        <v>73</v>
      </c>
      <c r="E12" s="33" t="s">
        <v>144</v>
      </c>
      <c r="F12" s="32" t="s">
        <v>294</v>
      </c>
      <c r="G12" s="6" t="s">
        <v>5</v>
      </c>
      <c r="I12" s="9" t="s">
        <v>71</v>
      </c>
      <c r="J12" s="9" t="s">
        <v>72</v>
      </c>
    </row>
    <row r="13" spans="2:10" x14ac:dyDescent="0.25">
      <c r="B13" s="72" t="s">
        <v>84</v>
      </c>
      <c r="C13" s="54" t="s">
        <v>85</v>
      </c>
      <c r="D13" s="40" t="s">
        <v>44</v>
      </c>
      <c r="E13" s="49" t="s">
        <v>145</v>
      </c>
      <c r="F13" s="39" t="s">
        <v>87</v>
      </c>
      <c r="G13" s="6" t="s">
        <v>5</v>
      </c>
      <c r="I13" s="9" t="s">
        <v>86</v>
      </c>
      <c r="J13" s="9" t="s">
        <v>92</v>
      </c>
    </row>
    <row r="14" spans="2:10" x14ac:dyDescent="0.25">
      <c r="B14" s="72"/>
      <c r="C14" s="31" t="s">
        <v>89</v>
      </c>
      <c r="D14" s="38" t="s">
        <v>44</v>
      </c>
      <c r="E14" s="33" t="s">
        <v>146</v>
      </c>
      <c r="F14" s="32" t="s">
        <v>88</v>
      </c>
      <c r="G14" s="6" t="s">
        <v>6</v>
      </c>
      <c r="I14" s="9" t="s">
        <v>90</v>
      </c>
      <c r="J14" s="9" t="s">
        <v>91</v>
      </c>
    </row>
    <row r="15" spans="2:10" x14ac:dyDescent="0.25">
      <c r="B15" s="72" t="s">
        <v>93</v>
      </c>
      <c r="C15" s="39" t="s">
        <v>286</v>
      </c>
      <c r="D15" s="40" t="s">
        <v>242</v>
      </c>
      <c r="E15" s="41"/>
      <c r="F15" s="39" t="s">
        <v>285</v>
      </c>
      <c r="G15" s="6"/>
      <c r="I15" s="9"/>
      <c r="J15" s="9" t="s">
        <v>287</v>
      </c>
    </row>
    <row r="16" spans="2:10" x14ac:dyDescent="0.25">
      <c r="B16" s="72"/>
      <c r="C16" s="39" t="s">
        <v>283</v>
      </c>
      <c r="D16" s="40" t="s">
        <v>242</v>
      </c>
      <c r="E16" s="41"/>
      <c r="F16" s="39" t="s">
        <v>282</v>
      </c>
      <c r="G16" s="6" t="s">
        <v>5</v>
      </c>
      <c r="I16" s="9"/>
      <c r="J16" s="9" t="s">
        <v>284</v>
      </c>
    </row>
    <row r="17" spans="2:10" x14ac:dyDescent="0.25">
      <c r="B17" s="72"/>
      <c r="C17" s="39" t="s">
        <v>318</v>
      </c>
      <c r="D17" s="40" t="s">
        <v>242</v>
      </c>
      <c r="E17" s="41"/>
      <c r="F17" s="39" t="s">
        <v>281</v>
      </c>
      <c r="G17" s="6" t="s">
        <v>5</v>
      </c>
      <c r="I17" s="9" t="s">
        <v>317</v>
      </c>
      <c r="J17" s="9"/>
    </row>
    <row r="18" spans="2:10" x14ac:dyDescent="0.25">
      <c r="B18" s="72"/>
      <c r="C18" s="39" t="s">
        <v>239</v>
      </c>
      <c r="D18" s="40" t="s">
        <v>94</v>
      </c>
      <c r="E18" s="41"/>
      <c r="F18" s="39" t="s">
        <v>281</v>
      </c>
      <c r="G18" s="6" t="s">
        <v>6</v>
      </c>
      <c r="I18" s="9" t="s">
        <v>240</v>
      </c>
      <c r="J18" s="9"/>
    </row>
    <row r="19" spans="2:10" x14ac:dyDescent="0.25">
      <c r="B19" s="72"/>
      <c r="C19" s="39" t="s">
        <v>96</v>
      </c>
      <c r="D19" s="40" t="s">
        <v>98</v>
      </c>
      <c r="E19" s="42"/>
      <c r="F19" s="39" t="s">
        <v>195</v>
      </c>
      <c r="G19" s="6" t="s">
        <v>5</v>
      </c>
      <c r="I19" s="9" t="s">
        <v>97</v>
      </c>
    </row>
    <row r="20" spans="2:10" x14ac:dyDescent="0.25">
      <c r="B20" s="72"/>
      <c r="C20" s="39" t="s">
        <v>230</v>
      </c>
      <c r="D20" s="40" t="s">
        <v>98</v>
      </c>
      <c r="E20" s="42"/>
      <c r="F20" s="39" t="s">
        <v>232</v>
      </c>
      <c r="G20" s="6" t="s">
        <v>5</v>
      </c>
      <c r="I20" s="9" t="s">
        <v>231</v>
      </c>
    </row>
    <row r="21" spans="2:10" x14ac:dyDescent="0.25">
      <c r="B21" s="72"/>
      <c r="C21" s="39" t="s">
        <v>233</v>
      </c>
      <c r="D21" s="40" t="s">
        <v>94</v>
      </c>
      <c r="E21" s="42"/>
      <c r="F21" s="39" t="s">
        <v>227</v>
      </c>
      <c r="G21" s="6" t="s">
        <v>5</v>
      </c>
      <c r="I21" s="9" t="s">
        <v>234</v>
      </c>
    </row>
    <row r="22" spans="2:10" x14ac:dyDescent="0.25">
      <c r="B22" s="72"/>
      <c r="C22" s="39" t="s">
        <v>235</v>
      </c>
      <c r="D22" s="40" t="s">
        <v>94</v>
      </c>
      <c r="E22" s="42"/>
      <c r="F22" s="39" t="s">
        <v>228</v>
      </c>
      <c r="G22" s="6" t="s">
        <v>5</v>
      </c>
      <c r="I22" s="9" t="s">
        <v>236</v>
      </c>
    </row>
    <row r="23" spans="2:10" x14ac:dyDescent="0.25">
      <c r="B23" s="72"/>
      <c r="C23" s="39" t="s">
        <v>237</v>
      </c>
      <c r="D23" s="40" t="s">
        <v>95</v>
      </c>
      <c r="E23" s="42"/>
      <c r="F23" s="39" t="s">
        <v>229</v>
      </c>
      <c r="G23" s="6" t="s">
        <v>5</v>
      </c>
      <c r="I23" s="9" t="s">
        <v>238</v>
      </c>
    </row>
    <row r="24" spans="2:10" x14ac:dyDescent="0.25">
      <c r="B24" s="72"/>
      <c r="C24" s="39" t="s">
        <v>288</v>
      </c>
      <c r="D24" s="40" t="s">
        <v>289</v>
      </c>
      <c r="E24" s="42"/>
      <c r="F24" s="39" t="s">
        <v>290</v>
      </c>
      <c r="G24" s="6" t="s">
        <v>5</v>
      </c>
      <c r="I24" s="9" t="s">
        <v>291</v>
      </c>
    </row>
    <row r="25" spans="2:10" x14ac:dyDescent="0.25">
      <c r="B25" s="72"/>
      <c r="C25" s="39" t="s">
        <v>196</v>
      </c>
      <c r="D25" s="40" t="s">
        <v>49</v>
      </c>
      <c r="E25" s="42"/>
      <c r="F25" s="39" t="s">
        <v>197</v>
      </c>
      <c r="G25" s="6" t="s">
        <v>5</v>
      </c>
      <c r="I25" s="9" t="s">
        <v>199</v>
      </c>
      <c r="J25" s="9" t="s">
        <v>198</v>
      </c>
    </row>
    <row r="26" spans="2:10" x14ac:dyDescent="0.25">
      <c r="B26" s="72"/>
      <c r="C26" s="39" t="s">
        <v>200</v>
      </c>
      <c r="D26" s="40" t="s">
        <v>49</v>
      </c>
      <c r="E26" s="42"/>
      <c r="F26" s="39" t="s">
        <v>201</v>
      </c>
      <c r="G26" s="6" t="s">
        <v>5</v>
      </c>
      <c r="I26" s="9" t="s">
        <v>203</v>
      </c>
      <c r="J26" s="9" t="s">
        <v>202</v>
      </c>
    </row>
    <row r="27" spans="2:10" x14ac:dyDescent="0.25">
      <c r="B27" s="79" t="s">
        <v>241</v>
      </c>
      <c r="C27" s="43" t="s">
        <v>315</v>
      </c>
      <c r="D27" s="44" t="s">
        <v>95</v>
      </c>
      <c r="E27" s="45"/>
      <c r="F27" s="46" t="s">
        <v>313</v>
      </c>
      <c r="G27" s="6" t="s">
        <v>5</v>
      </c>
      <c r="I27" s="9" t="s">
        <v>316</v>
      </c>
      <c r="J27" s="9"/>
    </row>
    <row r="28" spans="2:10" x14ac:dyDescent="0.25">
      <c r="B28" s="80"/>
      <c r="C28" s="39" t="s">
        <v>312</v>
      </c>
      <c r="D28" s="40" t="s">
        <v>242</v>
      </c>
      <c r="E28" s="42"/>
      <c r="F28" s="46" t="s">
        <v>313</v>
      </c>
      <c r="G28" s="6" t="s">
        <v>5</v>
      </c>
      <c r="I28" s="9" t="s">
        <v>314</v>
      </c>
      <c r="J28" s="9"/>
    </row>
    <row r="29" spans="2:10" x14ac:dyDescent="0.25">
      <c r="B29" s="80"/>
      <c r="C29" s="39" t="s">
        <v>249</v>
      </c>
      <c r="D29" s="40" t="s">
        <v>242</v>
      </c>
      <c r="E29" s="42"/>
      <c r="F29" s="46" t="s">
        <v>250</v>
      </c>
      <c r="G29" s="6" t="s">
        <v>5</v>
      </c>
      <c r="I29" s="9" t="s">
        <v>251</v>
      </c>
      <c r="J29" s="9"/>
    </row>
    <row r="30" spans="2:10" x14ac:dyDescent="0.25">
      <c r="B30" s="80"/>
      <c r="C30" s="39" t="s">
        <v>252</v>
      </c>
      <c r="D30" s="40" t="s">
        <v>242</v>
      </c>
      <c r="E30" s="42"/>
      <c r="F30" s="46" t="s">
        <v>253</v>
      </c>
      <c r="G30" s="6" t="s">
        <v>5</v>
      </c>
      <c r="I30" s="9" t="s">
        <v>254</v>
      </c>
      <c r="J30" s="9"/>
    </row>
    <row r="31" spans="2:10" x14ac:dyDescent="0.25">
      <c r="B31" s="80"/>
      <c r="C31" s="39" t="s">
        <v>246</v>
      </c>
      <c r="D31" s="40" t="s">
        <v>242</v>
      </c>
      <c r="E31" s="42"/>
      <c r="F31" s="39" t="s">
        <v>248</v>
      </c>
      <c r="G31" s="6" t="s">
        <v>5</v>
      </c>
      <c r="I31" s="9" t="s">
        <v>247</v>
      </c>
      <c r="J31" s="9"/>
    </row>
    <row r="32" spans="2:10" x14ac:dyDescent="0.25">
      <c r="B32" s="80"/>
      <c r="C32" s="39" t="s">
        <v>256</v>
      </c>
      <c r="D32" s="40" t="s">
        <v>242</v>
      </c>
      <c r="E32" s="42"/>
      <c r="F32" s="46" t="s">
        <v>255</v>
      </c>
      <c r="G32" s="6" t="s">
        <v>5</v>
      </c>
      <c r="I32" s="9" t="s">
        <v>257</v>
      </c>
      <c r="J32" s="9"/>
    </row>
    <row r="33" spans="2:10" x14ac:dyDescent="0.25">
      <c r="B33" s="80"/>
      <c r="C33" s="39" t="s">
        <v>243</v>
      </c>
      <c r="D33" s="40" t="s">
        <v>242</v>
      </c>
      <c r="E33" s="42"/>
      <c r="F33" s="39" t="s">
        <v>244</v>
      </c>
      <c r="G33" s="6" t="s">
        <v>5</v>
      </c>
      <c r="I33" s="9" t="s">
        <v>245</v>
      </c>
      <c r="J33" s="9"/>
    </row>
    <row r="34" spans="2:10" x14ac:dyDescent="0.25">
      <c r="B34" s="80"/>
      <c r="C34" s="39" t="s">
        <v>259</v>
      </c>
      <c r="D34" s="40" t="s">
        <v>242</v>
      </c>
      <c r="E34" s="42"/>
      <c r="F34" s="46" t="s">
        <v>258</v>
      </c>
      <c r="G34" s="6" t="s">
        <v>5</v>
      </c>
      <c r="I34" s="9" t="s">
        <v>260</v>
      </c>
      <c r="J34" s="9"/>
    </row>
    <row r="35" spans="2:10" x14ac:dyDescent="0.25">
      <c r="B35" s="80"/>
      <c r="C35" s="39" t="s">
        <v>262</v>
      </c>
      <c r="D35" s="40" t="s">
        <v>242</v>
      </c>
      <c r="E35" s="42"/>
      <c r="F35" s="46" t="s">
        <v>261</v>
      </c>
      <c r="G35" s="6" t="s">
        <v>5</v>
      </c>
      <c r="I35" s="9" t="s">
        <v>263</v>
      </c>
      <c r="J35" s="9"/>
    </row>
    <row r="36" spans="2:10" x14ac:dyDescent="0.25">
      <c r="B36" s="80"/>
      <c r="C36" s="39" t="s">
        <v>265</v>
      </c>
      <c r="D36" s="40" t="s">
        <v>242</v>
      </c>
      <c r="E36" s="42"/>
      <c r="F36" s="46" t="s">
        <v>264</v>
      </c>
      <c r="G36" s="6" t="s">
        <v>5</v>
      </c>
      <c r="I36" s="9" t="s">
        <v>266</v>
      </c>
      <c r="J36" s="9"/>
    </row>
    <row r="37" spans="2:10" x14ac:dyDescent="0.25">
      <c r="B37" s="80"/>
      <c r="C37" s="39" t="s">
        <v>268</v>
      </c>
      <c r="D37" s="40" t="s">
        <v>242</v>
      </c>
      <c r="E37" s="42"/>
      <c r="F37" s="46" t="s">
        <v>267</v>
      </c>
      <c r="G37" s="6" t="s">
        <v>5</v>
      </c>
      <c r="I37" s="9" t="s">
        <v>269</v>
      </c>
      <c r="J37" s="9"/>
    </row>
    <row r="38" spans="2:10" x14ac:dyDescent="0.25">
      <c r="B38" s="80"/>
      <c r="C38" s="39" t="s">
        <v>271</v>
      </c>
      <c r="D38" s="40" t="s">
        <v>242</v>
      </c>
      <c r="E38" s="42"/>
      <c r="F38" s="46" t="s">
        <v>270</v>
      </c>
      <c r="G38" s="6" t="s">
        <v>5</v>
      </c>
      <c r="I38" s="9" t="s">
        <v>272</v>
      </c>
      <c r="J38" s="9"/>
    </row>
    <row r="39" spans="2:10" x14ac:dyDescent="0.25">
      <c r="B39" s="80"/>
      <c r="C39" s="39" t="s">
        <v>274</v>
      </c>
      <c r="D39" s="40" t="s">
        <v>242</v>
      </c>
      <c r="E39" s="42"/>
      <c r="F39" s="39" t="s">
        <v>273</v>
      </c>
      <c r="G39" s="6" t="s">
        <v>6</v>
      </c>
      <c r="I39" s="9" t="s">
        <v>275</v>
      </c>
      <c r="J39" s="9"/>
    </row>
    <row r="40" spans="2:10" x14ac:dyDescent="0.25">
      <c r="B40" s="80"/>
      <c r="C40" s="39" t="s">
        <v>277</v>
      </c>
      <c r="D40" s="40" t="s">
        <v>242</v>
      </c>
      <c r="E40" s="42"/>
      <c r="F40" s="46" t="s">
        <v>276</v>
      </c>
      <c r="G40" s="6" t="s">
        <v>5</v>
      </c>
      <c r="I40" s="9" t="s">
        <v>278</v>
      </c>
      <c r="J40" s="9"/>
    </row>
    <row r="41" spans="2:10" x14ac:dyDescent="0.25">
      <c r="B41" s="80"/>
      <c r="C41" s="39" t="s">
        <v>277</v>
      </c>
      <c r="D41" s="40" t="s">
        <v>242</v>
      </c>
      <c r="E41" s="42"/>
      <c r="F41" s="39" t="s">
        <v>279</v>
      </c>
      <c r="G41" s="6" t="s">
        <v>5</v>
      </c>
      <c r="I41" s="9" t="s">
        <v>280</v>
      </c>
      <c r="J41" s="9"/>
    </row>
    <row r="42" spans="2:10" x14ac:dyDescent="0.25">
      <c r="B42" s="81"/>
      <c r="E42" s="24"/>
      <c r="G42" s="6"/>
      <c r="I42" s="9"/>
      <c r="J42" s="9"/>
    </row>
    <row r="43" spans="2:10" x14ac:dyDescent="0.25">
      <c r="B43" s="29" t="s">
        <v>204</v>
      </c>
      <c r="C43" s="66" t="s">
        <v>205</v>
      </c>
      <c r="D43" s="67" t="s">
        <v>207</v>
      </c>
      <c r="E43" s="68" t="s">
        <v>208</v>
      </c>
      <c r="F43" s="67" t="s">
        <v>206</v>
      </c>
      <c r="G43" s="6" t="s">
        <v>5</v>
      </c>
      <c r="I43" s="9" t="s">
        <v>210</v>
      </c>
      <c r="J43" s="9" t="s">
        <v>209</v>
      </c>
    </row>
    <row r="44" spans="2:10" x14ac:dyDescent="0.25">
      <c r="B44" s="72" t="s">
        <v>103</v>
      </c>
      <c r="C44" s="63" t="s">
        <v>220</v>
      </c>
      <c r="D44" s="43" t="s">
        <v>221</v>
      </c>
      <c r="E44" s="56" t="s">
        <v>223</v>
      </c>
      <c r="F44" s="43" t="s">
        <v>226</v>
      </c>
      <c r="G44" s="6" t="s">
        <v>5</v>
      </c>
      <c r="I44" s="9" t="s">
        <v>225</v>
      </c>
      <c r="J44" s="9" t="s">
        <v>224</v>
      </c>
    </row>
    <row r="45" spans="2:10" x14ac:dyDescent="0.25">
      <c r="B45" s="72"/>
      <c r="C45" s="54" t="s">
        <v>164</v>
      </c>
      <c r="D45" s="40" t="s">
        <v>165</v>
      </c>
      <c r="E45" s="49" t="s">
        <v>219</v>
      </c>
      <c r="F45" s="39" t="s">
        <v>222</v>
      </c>
      <c r="G45" s="6" t="s">
        <v>5</v>
      </c>
      <c r="I45" s="9" t="s">
        <v>166</v>
      </c>
      <c r="J45" s="9" t="s">
        <v>167</v>
      </c>
    </row>
    <row r="46" spans="2:10" x14ac:dyDescent="0.25">
      <c r="B46" s="72"/>
      <c r="C46" s="8" t="s">
        <v>104</v>
      </c>
      <c r="D46" t="s">
        <v>106</v>
      </c>
      <c r="E46" s="25" t="s">
        <v>147</v>
      </c>
      <c r="F46" t="s">
        <v>105</v>
      </c>
      <c r="G46" s="6" t="s">
        <v>6</v>
      </c>
      <c r="I46" s="9" t="s">
        <v>108</v>
      </c>
      <c r="J46" s="9" t="s">
        <v>107</v>
      </c>
    </row>
    <row r="47" spans="2:10" x14ac:dyDescent="0.25">
      <c r="B47" s="72"/>
      <c r="C47" s="54" t="s">
        <v>300</v>
      </c>
      <c r="D47" s="39" t="s">
        <v>301</v>
      </c>
      <c r="E47" s="49" t="s">
        <v>302</v>
      </c>
      <c r="F47" s="71" t="s">
        <v>303</v>
      </c>
      <c r="G47" s="6" t="s">
        <v>5</v>
      </c>
      <c r="I47" s="9" t="s">
        <v>304</v>
      </c>
      <c r="J47" s="9"/>
    </row>
    <row r="48" spans="2:10" x14ac:dyDescent="0.25">
      <c r="B48" s="72"/>
      <c r="C48" s="31" t="s">
        <v>109</v>
      </c>
      <c r="D48" s="32" t="s">
        <v>113</v>
      </c>
      <c r="E48" s="33" t="s">
        <v>148</v>
      </c>
      <c r="F48" s="32" t="s">
        <v>110</v>
      </c>
      <c r="G48" s="6" t="s">
        <v>6</v>
      </c>
      <c r="I48" s="9" t="s">
        <v>112</v>
      </c>
      <c r="J48" s="9" t="s">
        <v>111</v>
      </c>
    </row>
    <row r="49" spans="2:10" x14ac:dyDescent="0.25">
      <c r="B49" s="29" t="s">
        <v>114</v>
      </c>
      <c r="C49" s="69" t="s">
        <v>115</v>
      </c>
      <c r="D49" s="67" t="s">
        <v>116</v>
      </c>
      <c r="E49" s="68" t="s">
        <v>149</v>
      </c>
      <c r="F49" s="70" t="s">
        <v>119</v>
      </c>
      <c r="G49" s="6" t="s">
        <v>5</v>
      </c>
      <c r="I49" s="9" t="s">
        <v>118</v>
      </c>
      <c r="J49" s="9" t="s">
        <v>117</v>
      </c>
    </row>
    <row r="50" spans="2:10" x14ac:dyDescent="0.25">
      <c r="B50" s="72" t="s">
        <v>152</v>
      </c>
      <c r="C50" t="s">
        <v>153</v>
      </c>
      <c r="D50" t="s">
        <v>154</v>
      </c>
      <c r="E50" s="9" t="s">
        <v>156</v>
      </c>
      <c r="F50" s="21" t="s">
        <v>155</v>
      </c>
      <c r="G50" s="6" t="s">
        <v>6</v>
      </c>
      <c r="J50" s="9" t="s">
        <v>157</v>
      </c>
    </row>
    <row r="51" spans="2:10" x14ac:dyDescent="0.25">
      <c r="B51" s="72"/>
      <c r="C51" s="61" t="s">
        <v>158</v>
      </c>
      <c r="D51" s="64" t="s">
        <v>159</v>
      </c>
      <c r="E51" s="64" t="s">
        <v>160</v>
      </c>
      <c r="F51" s="65" t="s">
        <v>162</v>
      </c>
      <c r="G51" s="6" t="s">
        <v>5</v>
      </c>
      <c r="I51" s="9" t="s">
        <v>163</v>
      </c>
      <c r="J51" s="9" t="s">
        <v>161</v>
      </c>
    </row>
    <row r="52" spans="2:10" x14ac:dyDescent="0.25">
      <c r="B52" s="30" t="s">
        <v>212</v>
      </c>
      <c r="C52" s="34" t="s">
        <v>213</v>
      </c>
      <c r="D52" s="37"/>
      <c r="E52" s="35"/>
      <c r="F52" s="36"/>
      <c r="G52" s="6" t="s">
        <v>6</v>
      </c>
    </row>
  </sheetData>
  <mergeCells count="12">
    <mergeCell ref="B50:B51"/>
    <mergeCell ref="G3:H3"/>
    <mergeCell ref="I3:J3"/>
    <mergeCell ref="D3:F3"/>
    <mergeCell ref="B13:B14"/>
    <mergeCell ref="B5:B10"/>
    <mergeCell ref="B3:B4"/>
    <mergeCell ref="C3:C4"/>
    <mergeCell ref="B44:B48"/>
    <mergeCell ref="B15:B26"/>
    <mergeCell ref="B11:B12"/>
    <mergeCell ref="B27:B42"/>
  </mergeCells>
  <phoneticPr fontId="2" type="noConversion"/>
  <conditionalFormatting sqref="G5:H11 G12:G52">
    <cfRule type="cellIs" dxfId="3" priority="1" operator="equal">
      <formula>"no"</formula>
    </cfRule>
    <cfRule type="cellIs" dxfId="2" priority="2" operator="equal">
      <formula>"yes"</formula>
    </cfRule>
  </conditionalFormatting>
  <dataValidations count="1">
    <dataValidation type="list" allowBlank="1" showInputMessage="1" showErrorMessage="1" sqref="G5:H11 G12:G52" xr:uid="{16E70C10-E0D8-4840-AEA1-7AA8C21C6052}">
      <formula1>"yes,no"</formula1>
    </dataValidation>
  </dataValidations>
  <hyperlinks>
    <hyperlink ref="J5" r:id="rId1" xr:uid="{77CE8013-1BB1-433D-94A3-B2FAB9921B3A}"/>
    <hyperlink ref="E5" r:id="rId2" xr:uid="{8E84968F-3D5A-40EC-B9C0-E90712451C7F}"/>
    <hyperlink ref="J8" r:id="rId3" xr:uid="{02A83B75-9123-4893-B449-D8856F7C48B0}"/>
    <hyperlink ref="E8" r:id="rId4" xr:uid="{0A4DBF73-37BE-43D1-86F6-08A54E4D5A74}"/>
    <hyperlink ref="E9" r:id="rId5" xr:uid="{9CE94A8C-34F6-4260-B969-573D2A245667}"/>
    <hyperlink ref="J9" r:id="rId6" xr:uid="{F1AF7B01-8EF8-4D45-AD7F-F00C9B1E0E4A}"/>
    <hyperlink ref="I9" r:id="rId7" xr:uid="{0B05A3A8-0A0A-4446-9677-394031162275}"/>
    <hyperlink ref="J10" r:id="rId8" xr:uid="{523C57AE-A327-42AA-8E99-8F06A162D325}"/>
    <hyperlink ref="I12" r:id="rId9" xr:uid="{91D0E0B7-7B95-48BC-A721-F3BADC2E68D5}"/>
    <hyperlink ref="J12" r:id="rId10" xr:uid="{3B705498-1050-4B6F-813A-9E89D27111EC}"/>
    <hyperlink ref="E12" r:id="rId11" xr:uid="{691A8FF3-0680-401C-A5BB-CA72E59A6F7B}"/>
    <hyperlink ref="I13" r:id="rId12" xr:uid="{7D3C1811-6BD9-43E5-AF37-933D4003306E}"/>
    <hyperlink ref="I14" r:id="rId13" xr:uid="{8F53AC38-352C-4657-A4A8-1DE7749D8332}"/>
    <hyperlink ref="J14" r:id="rId14" xr:uid="{218DA976-742E-4846-AF26-57B1BE9B2D28}"/>
    <hyperlink ref="E13" r:id="rId15" xr:uid="{F5BC8CEE-F530-48B2-AEB0-05138F66FE72}"/>
    <hyperlink ref="E14" r:id="rId16" xr:uid="{2F7D2E1C-572A-40A6-A537-AE8A71A84B92}"/>
    <hyperlink ref="J13" r:id="rId17" xr:uid="{078108F6-3106-4427-8212-509361A32B23}"/>
    <hyperlink ref="I19" r:id="rId18" xr:uid="{4B806AB2-B5DE-4DCB-AC21-E51C140EAA6F}"/>
    <hyperlink ref="E46" r:id="rId19" xr:uid="{B84D1D11-4839-4507-866F-3DB821FC7223}"/>
    <hyperlink ref="J46" r:id="rId20" xr:uid="{45063706-F8DD-4586-B532-1AF1FFE4D222}"/>
    <hyperlink ref="I46" r:id="rId21" xr:uid="{D608BFA7-83BF-4D1F-82B5-5A142FAD149B}"/>
    <hyperlink ref="E48" r:id="rId22" xr:uid="{4E4966D7-5D9C-457C-875C-140C265069B0}"/>
    <hyperlink ref="J48" r:id="rId23" xr:uid="{2C2D94D1-BDF7-426D-8EFB-1C4770F313BB}"/>
    <hyperlink ref="I48" r:id="rId24" xr:uid="{E1BC785D-5519-4540-A6B1-C307CDC6A748}"/>
    <hyperlink ref="J49" r:id="rId25" xr:uid="{FE26BA89-AE20-400E-A204-A1D51563DF5F}"/>
    <hyperlink ref="I49" r:id="rId26" xr:uid="{4380D086-6180-45C1-9F84-52BBDD26E612}"/>
    <hyperlink ref="E49" r:id="rId27" xr:uid="{F01D8885-58E5-4152-89A6-1D3EFB41E879}"/>
    <hyperlink ref="E10" r:id="rId28" xr:uid="{A66C6588-B22D-48F2-A4EC-7D0E46AD60F3}"/>
    <hyperlink ref="E50" r:id="rId29" xr:uid="{B51B99C6-1910-491D-81A6-E411A3AE7908}"/>
    <hyperlink ref="J50" r:id="rId30" xr:uid="{D4B2B14F-519C-40B0-AC9E-652A1615F7B2}"/>
    <hyperlink ref="D51" r:id="rId31" display="https://www.digikey.com.au/en/products/filter/transistors/fets-mosfets/single-fets-mosfets/3-smd-sot-23-3-variant/278?s=N4IgjCBcpgbFoDGUBmBDANgZwKYBoQA3AOygBcAnAV3xAHsoBtEAJgAYWBWWTkAXQIAHMlBABlSgEtiAcxABfRUA" xr:uid="{427053F7-D1E6-4161-A03E-357918EA99BE}"/>
    <hyperlink ref="J51" r:id="rId32" xr:uid="{A8094415-9801-4570-832C-C2DE47B8EED0}"/>
    <hyperlink ref="E51" r:id="rId33" xr:uid="{3300C72A-8FEE-49E7-9F94-26680825DC19}"/>
    <hyperlink ref="I51" r:id="rId34" xr:uid="{12A90CC8-ABE8-4E1C-B7E9-A039C71E7360}"/>
    <hyperlink ref="I45" r:id="rId35" xr:uid="{9333B8F5-7A23-4277-901C-C048FA77551E}"/>
    <hyperlink ref="J45" r:id="rId36" xr:uid="{1F9C453E-8146-4ABB-B0D8-ADC0F74BDFDD}"/>
    <hyperlink ref="I5" r:id="rId37" xr:uid="{C4E7B030-4D65-46DD-B8CD-32E254C3E9BC}"/>
    <hyperlink ref="J25" r:id="rId38" xr:uid="{A2D551F1-2E4B-4156-B207-EC4CE5E7FC8B}"/>
    <hyperlink ref="I25" r:id="rId39" xr:uid="{CFFF530B-2773-42DF-90C4-202FCF4E4B7A}"/>
    <hyperlink ref="J26" r:id="rId40" xr:uid="{1FE24F0A-8C01-411C-8F0E-9B469A2CCDEB}"/>
    <hyperlink ref="I26" r:id="rId41" xr:uid="{E0602950-D812-4F35-BDE3-248BB4726456}"/>
    <hyperlink ref="E43" r:id="rId42" xr:uid="{B36D8326-BCC3-4582-9004-FC7C01706DCB}"/>
    <hyperlink ref="J43" r:id="rId43" xr:uid="{30D79133-F02A-453B-AB7E-C10F953868B8}"/>
    <hyperlink ref="I43" r:id="rId44" xr:uid="{828B557D-59E0-4E1C-B749-5FDFC6187973}"/>
    <hyperlink ref="E45" r:id="rId45" xr:uid="{17EC64C7-81E0-4782-83D8-B81B200B35F9}"/>
    <hyperlink ref="E44" r:id="rId46" xr:uid="{CC3FB449-A5FB-45C6-B6EE-0F3148FD427A}"/>
    <hyperlink ref="J44" r:id="rId47" xr:uid="{03F4CC3D-F7CE-4EE4-A6FB-D01FDB9B37EE}"/>
    <hyperlink ref="I44" r:id="rId48" xr:uid="{D880243D-A403-4FCF-9CC6-F7F21A6C9531}"/>
    <hyperlink ref="I20" r:id="rId49" xr:uid="{70F73E41-DF07-46C4-923C-B09B1549CD2A}"/>
    <hyperlink ref="I21" r:id="rId50" xr:uid="{CD6B6DB7-7493-4EF2-98A9-A90EE48951BD}"/>
    <hyperlink ref="I22" r:id="rId51" xr:uid="{6622E1FC-21E2-43E6-B4AC-1EF122E0B3F7}"/>
    <hyperlink ref="I23" r:id="rId52" xr:uid="{1723F688-3A1D-43B1-AC3B-499F0C426F7B}"/>
    <hyperlink ref="I18" r:id="rId53" xr:uid="{A81A9CF4-EAE7-4735-A627-120A5ECBC244}"/>
    <hyperlink ref="I41" r:id="rId54" xr:uid="{EE0E96B7-D0BF-4E1B-9B17-8F0AEFB3AB67}"/>
    <hyperlink ref="I39" r:id="rId55" xr:uid="{491602FF-2002-40B0-8734-1F671A3D275C}"/>
    <hyperlink ref="I33" r:id="rId56" xr:uid="{4F1B335D-A4E4-456D-BE8B-FDDDC0F528B9}"/>
    <hyperlink ref="I31" r:id="rId57" xr:uid="{9EA762D5-8683-4FDC-88A0-AD8881169E2A}"/>
    <hyperlink ref="I29" r:id="rId58" xr:uid="{4BEA9118-C774-4639-B13C-D389B1536CB5}"/>
    <hyperlink ref="I30" r:id="rId59" xr:uid="{2866869F-7CDB-4FE9-83C4-9B885E101CAE}"/>
    <hyperlink ref="I32" r:id="rId60" xr:uid="{B453E5C2-522B-43E9-9B83-2257FF7B0411}"/>
    <hyperlink ref="I34" r:id="rId61" xr:uid="{E58E8250-744D-4652-8731-FF1922BCACFC}"/>
    <hyperlink ref="I35" r:id="rId62" xr:uid="{69A48636-6644-4631-9727-1A18CAB04886}"/>
    <hyperlink ref="I36" r:id="rId63" xr:uid="{B007C36B-A8E7-4553-A135-C95A4A3045E4}"/>
    <hyperlink ref="I37" r:id="rId64" xr:uid="{6DFE29A5-EEA1-4879-A28B-F475821524E8}"/>
    <hyperlink ref="I38" r:id="rId65" xr:uid="{6AB3DCD0-713D-46CF-A65F-71A21C2CA861}"/>
    <hyperlink ref="I40" r:id="rId66" xr:uid="{E31DB478-A8CF-4ECF-82D2-365056D7E08A}"/>
    <hyperlink ref="J16" r:id="rId67" xr:uid="{2123C418-0A72-462C-8A8A-A91BA1AF54EA}"/>
    <hyperlink ref="J15" r:id="rId68" xr:uid="{198CD9AC-8EDF-4727-951A-CF56D6A99009}"/>
    <hyperlink ref="I24" r:id="rId69" xr:uid="{D06154EA-5988-42CB-A0CB-7E75E3CABDC0}"/>
    <hyperlink ref="E11" r:id="rId70" xr:uid="{54E1429C-5566-4D58-A48A-782EFE638B13}"/>
    <hyperlink ref="I11" r:id="rId71" xr:uid="{ED01D9AA-1992-4051-A318-6F17035B091F}"/>
    <hyperlink ref="E47" r:id="rId72" xr:uid="{100B7E72-9926-433A-AE57-E8E117203EFC}"/>
    <hyperlink ref="F47" r:id="rId73" xr:uid="{B04C0F62-4FBB-448E-AD09-6BB081C42E1A}"/>
    <hyperlink ref="I47" r:id="rId74" xr:uid="{157F98ED-804A-45B7-8DCB-B3A547CA4031}"/>
    <hyperlink ref="E6" r:id="rId75" xr:uid="{448F1111-8B21-4E73-B986-DC32264FF724}"/>
    <hyperlink ref="I6" r:id="rId76" xr:uid="{F7B3B305-2100-4542-90BC-8A75AF5F7CFD}"/>
    <hyperlink ref="E7" r:id="rId77" xr:uid="{E6DE2120-0861-4596-BF6E-251153CD52B8}"/>
    <hyperlink ref="I7" r:id="rId78" xr:uid="{B96F6C79-203F-43DF-8873-FD02681FB4F2}"/>
    <hyperlink ref="I28" r:id="rId79" xr:uid="{3B13D20B-C2E0-45B1-ACBB-057EF5DACF3B}"/>
    <hyperlink ref="I27" r:id="rId80" xr:uid="{AB4698A6-6AF7-4E32-8097-9AFA156876FA}"/>
    <hyperlink ref="I17" r:id="rId81" xr:uid="{1CA29837-A7B6-4B91-88EA-093AC6E61F68}"/>
  </hyperlinks>
  <pageMargins left="0.7" right="0.7" top="0.75" bottom="0.75" header="0.3" footer="0.3"/>
  <ignoredErrors>
    <ignoredError sqref="D23 D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9C48-31F7-46F6-BD64-EAF773283DB7}">
  <dimension ref="B2:M9"/>
  <sheetViews>
    <sheetView zoomScaleNormal="100" workbookViewId="0">
      <selection activeCell="H12" sqref="H12"/>
    </sheetView>
  </sheetViews>
  <sheetFormatPr defaultRowHeight="15" x14ac:dyDescent="0.25"/>
  <cols>
    <col min="2" max="2" width="12.140625" bestFit="1" customWidth="1"/>
    <col min="3" max="3" width="20.85546875" bestFit="1" customWidth="1"/>
    <col min="4" max="4" width="11.140625" customWidth="1"/>
    <col min="5" max="5" width="33" bestFit="1" customWidth="1"/>
    <col min="6" max="6" width="28.7109375" bestFit="1" customWidth="1"/>
    <col min="7" max="7" width="19.28515625" bestFit="1" customWidth="1"/>
    <col min="8" max="8" width="11.140625" customWidth="1"/>
    <col min="9" max="9" width="16" bestFit="1" customWidth="1"/>
    <col min="10" max="10" width="18.85546875" bestFit="1" customWidth="1"/>
  </cols>
  <sheetData>
    <row r="2" spans="2:13" x14ac:dyDescent="0.25">
      <c r="B2" s="95" t="s">
        <v>0</v>
      </c>
      <c r="C2" s="95" t="s">
        <v>1</v>
      </c>
      <c r="D2" s="97" t="s">
        <v>38</v>
      </c>
      <c r="E2" s="98"/>
      <c r="F2" s="99"/>
      <c r="G2" s="73" t="s">
        <v>33</v>
      </c>
      <c r="H2" s="74"/>
      <c r="I2" s="73" t="s">
        <v>34</v>
      </c>
      <c r="J2" s="74"/>
    </row>
    <row r="3" spans="2:13" x14ac:dyDescent="0.25">
      <c r="B3" s="96"/>
      <c r="C3" s="96"/>
      <c r="D3" s="15" t="s">
        <v>37</v>
      </c>
      <c r="E3" s="15" t="s">
        <v>43</v>
      </c>
      <c r="F3" s="15" t="s">
        <v>9</v>
      </c>
      <c r="G3" s="17" t="s">
        <v>30</v>
      </c>
      <c r="H3" s="17" t="s">
        <v>31</v>
      </c>
      <c r="I3" s="17" t="s">
        <v>28</v>
      </c>
      <c r="J3" s="17" t="s">
        <v>29</v>
      </c>
    </row>
    <row r="4" spans="2:13" x14ac:dyDescent="0.25">
      <c r="B4" s="29" t="s">
        <v>25</v>
      </c>
      <c r="C4" s="51" t="s">
        <v>292</v>
      </c>
      <c r="D4" s="51" t="s">
        <v>44</v>
      </c>
      <c r="E4" s="52" t="s">
        <v>150</v>
      </c>
      <c r="F4" s="53" t="s">
        <v>26</v>
      </c>
      <c r="G4" s="6" t="s">
        <v>5</v>
      </c>
      <c r="H4" s="6" t="s">
        <v>5</v>
      </c>
      <c r="I4" s="18" t="s">
        <v>175</v>
      </c>
      <c r="J4" s="18" t="s">
        <v>57</v>
      </c>
    </row>
    <row r="5" spans="2:13" x14ac:dyDescent="0.25">
      <c r="B5" s="29" t="s">
        <v>27</v>
      </c>
      <c r="C5" s="39" t="s">
        <v>176</v>
      </c>
      <c r="D5" s="59" t="s">
        <v>44</v>
      </c>
      <c r="E5" s="60" t="s">
        <v>211</v>
      </c>
      <c r="F5" s="59"/>
      <c r="G5" s="6" t="s">
        <v>5</v>
      </c>
      <c r="H5" s="6" t="s">
        <v>5</v>
      </c>
      <c r="I5" s="9" t="s">
        <v>178</v>
      </c>
      <c r="J5" s="9" t="s">
        <v>177</v>
      </c>
    </row>
    <row r="6" spans="2:13" x14ac:dyDescent="0.25">
      <c r="B6" s="72" t="s">
        <v>74</v>
      </c>
      <c r="C6" s="39" t="s">
        <v>75</v>
      </c>
      <c r="D6" s="39" t="s">
        <v>44</v>
      </c>
      <c r="E6" s="41" t="s">
        <v>151</v>
      </c>
      <c r="F6" s="39" t="s">
        <v>78</v>
      </c>
      <c r="G6" s="6" t="s">
        <v>5</v>
      </c>
      <c r="J6" s="9" t="s">
        <v>76</v>
      </c>
    </row>
    <row r="7" spans="2:13" x14ac:dyDescent="0.25">
      <c r="B7" s="72"/>
      <c r="C7" t="s">
        <v>77</v>
      </c>
      <c r="D7" t="s">
        <v>44</v>
      </c>
      <c r="E7" s="23" t="s">
        <v>151</v>
      </c>
      <c r="F7" t="s">
        <v>79</v>
      </c>
      <c r="G7" s="6" t="s">
        <v>5</v>
      </c>
      <c r="J7" s="9" t="s">
        <v>80</v>
      </c>
    </row>
    <row r="8" spans="2:13" x14ac:dyDescent="0.25">
      <c r="B8" s="72"/>
      <c r="C8" s="39" t="s">
        <v>81</v>
      </c>
      <c r="D8" s="39" t="s">
        <v>44</v>
      </c>
      <c r="E8" s="41" t="s">
        <v>151</v>
      </c>
      <c r="F8" s="39" t="s">
        <v>82</v>
      </c>
      <c r="G8" s="6" t="s">
        <v>5</v>
      </c>
      <c r="J8" s="9" t="s">
        <v>83</v>
      </c>
    </row>
    <row r="9" spans="2:13" x14ac:dyDescent="0.25">
      <c r="B9" s="72"/>
      <c r="C9" t="s">
        <v>99</v>
      </c>
      <c r="D9" t="s">
        <v>44</v>
      </c>
      <c r="F9" t="s">
        <v>102</v>
      </c>
      <c r="G9" s="6" t="s">
        <v>5</v>
      </c>
      <c r="I9" s="9" t="s">
        <v>101</v>
      </c>
      <c r="J9" s="9" t="s">
        <v>100</v>
      </c>
      <c r="M9" t="s">
        <v>44</v>
      </c>
    </row>
  </sheetData>
  <mergeCells count="6">
    <mergeCell ref="B6:B9"/>
    <mergeCell ref="B2:B3"/>
    <mergeCell ref="D2:F2"/>
    <mergeCell ref="G2:H2"/>
    <mergeCell ref="I2:J2"/>
    <mergeCell ref="C2:C3"/>
  </mergeCells>
  <phoneticPr fontId="2" type="noConversion"/>
  <conditionalFormatting sqref="G4:H5 G6:G9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G4:H5 G6:G9" xr:uid="{B7DBCFF7-4635-4E15-BF81-BA5997C39FBD}">
      <formula1>"yes,no"</formula1>
    </dataValidation>
  </dataValidations>
  <hyperlinks>
    <hyperlink ref="E4" r:id="rId1" xr:uid="{5546B014-9329-47FC-AAD6-E260BD7AED8D}"/>
    <hyperlink ref="E5" r:id="rId2" xr:uid="{73C376A3-4787-4FA7-9FCF-165EA9F7B0EA}"/>
    <hyperlink ref="J4" r:id="rId3" xr:uid="{FD0065D5-8E61-469C-B24F-08E0153BF3BF}"/>
    <hyperlink ref="J6" r:id="rId4" xr:uid="{3E91EE72-9A4D-4064-802F-11813FD2444F}"/>
    <hyperlink ref="J7" r:id="rId5" xr:uid="{9B6D809A-D8C0-45A7-85F3-8FF182F9FE88}"/>
    <hyperlink ref="J8" r:id="rId6" xr:uid="{B4F4C383-C9E8-4C56-8D57-E48F0EF33EC3}"/>
    <hyperlink ref="E6" r:id="rId7" xr:uid="{F6CA2D68-D036-466F-BED2-3214452455B4}"/>
    <hyperlink ref="J9" r:id="rId8" xr:uid="{BFBED7EF-F5AD-4895-AF1F-E2FB36EACCF3}"/>
    <hyperlink ref="I9" r:id="rId9" xr:uid="{1A73440C-FAE4-4FA1-BFED-47AF249471DF}"/>
    <hyperlink ref="E7" r:id="rId10" xr:uid="{291E78CF-CF10-4D1F-821D-2280DEFB8E49}"/>
    <hyperlink ref="E8" r:id="rId11" xr:uid="{6549D6C6-938B-4748-8AB4-303A00E93196}"/>
    <hyperlink ref="I4" r:id="rId12" xr:uid="{EA26D28B-82CB-450E-93BA-99A9B370F86B}"/>
    <hyperlink ref="J5" r:id="rId13" xr:uid="{1AD80852-8057-4B94-B0D8-535737ECB026}"/>
    <hyperlink ref="I5" r:id="rId14" xr:uid="{B6EABDE8-D8F8-47AC-8C40-4E38765D79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3973-A225-46FE-9129-4B158768D499}">
  <dimension ref="A1"/>
  <sheetViews>
    <sheetView workbookViewId="0">
      <selection activeCell="I26" sqref="I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ICs</vt:lpstr>
      <vt:lpstr>Standard components</vt:lpstr>
      <vt:lpstr>Interfaces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and</dc:creator>
  <cp:lastModifiedBy>Guilhem Antoine Marc Andrieu</cp:lastModifiedBy>
  <dcterms:created xsi:type="dcterms:W3CDTF">2015-06-05T18:17:20Z</dcterms:created>
  <dcterms:modified xsi:type="dcterms:W3CDTF">2026-03-13T05:32:22Z</dcterms:modified>
</cp:coreProperties>
</file>